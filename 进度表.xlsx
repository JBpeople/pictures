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Volumes/移动固态/100 Workfile/01 核电项目/"/>
    </mc:Choice>
  </mc:AlternateContent>
  <xr:revisionPtr revIDLastSave="0" documentId="13_ncr:1_{66C063FE-7F12-9A47-B8A2-3BBF30AF7638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三维布置设计平台进度跟踪表" sheetId="1" r:id="rId1"/>
  </sheets>
  <definedNames>
    <definedName name="_xlnm._FilterDatabase" localSheetId="0" hidden="1">三维布置设计平台进度跟踪表!$A$2:$AF$564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75" i="1" l="1"/>
  <c r="R475" i="1"/>
  <c r="P475" i="1"/>
  <c r="M475" i="1"/>
  <c r="T474" i="1"/>
  <c r="R474" i="1"/>
  <c r="P474" i="1"/>
  <c r="M474" i="1"/>
  <c r="T473" i="1"/>
  <c r="R473" i="1"/>
  <c r="P473" i="1"/>
  <c r="M473" i="1"/>
  <c r="T472" i="1"/>
  <c r="R472" i="1"/>
  <c r="P472" i="1"/>
  <c r="M472" i="1"/>
  <c r="T470" i="1"/>
  <c r="R470" i="1"/>
  <c r="P470" i="1"/>
  <c r="M470" i="1"/>
  <c r="T469" i="1"/>
  <c r="R469" i="1"/>
  <c r="P469" i="1"/>
  <c r="M469" i="1"/>
  <c r="T468" i="1"/>
  <c r="R468" i="1"/>
  <c r="P468" i="1"/>
  <c r="M468" i="1"/>
  <c r="T467" i="1"/>
  <c r="R467" i="1"/>
  <c r="P467" i="1"/>
  <c r="M467" i="1"/>
  <c r="T465" i="1"/>
  <c r="R465" i="1"/>
  <c r="P465" i="1"/>
  <c r="M465" i="1"/>
  <c r="T464" i="1"/>
  <c r="R464" i="1"/>
  <c r="P464" i="1"/>
  <c r="M464" i="1"/>
  <c r="T462" i="1"/>
  <c r="R462" i="1"/>
  <c r="P462" i="1"/>
  <c r="M462" i="1"/>
  <c r="T461" i="1"/>
  <c r="R461" i="1"/>
  <c r="P461" i="1"/>
  <c r="M461" i="1"/>
  <c r="T460" i="1"/>
  <c r="R460" i="1"/>
  <c r="P460" i="1"/>
  <c r="M460" i="1"/>
  <c r="T459" i="1"/>
  <c r="R459" i="1"/>
  <c r="P459" i="1"/>
  <c r="M459" i="1"/>
  <c r="T458" i="1"/>
  <c r="R458" i="1"/>
  <c r="P458" i="1"/>
  <c r="M458" i="1"/>
  <c r="T457" i="1"/>
  <c r="R457" i="1"/>
  <c r="P457" i="1"/>
  <c r="M457" i="1"/>
  <c r="T455" i="1"/>
  <c r="R455" i="1"/>
  <c r="P455" i="1"/>
  <c r="M455" i="1"/>
  <c r="T454" i="1"/>
  <c r="R454" i="1"/>
  <c r="P454" i="1"/>
  <c r="M454" i="1"/>
  <c r="T453" i="1"/>
  <c r="R453" i="1"/>
  <c r="P453" i="1"/>
  <c r="M453" i="1"/>
  <c r="T452" i="1"/>
  <c r="R452" i="1"/>
  <c r="P452" i="1"/>
  <c r="M452" i="1"/>
  <c r="T450" i="1"/>
  <c r="R450" i="1"/>
  <c r="P450" i="1"/>
  <c r="M450" i="1"/>
  <c r="T449" i="1"/>
  <c r="R449" i="1"/>
  <c r="P449" i="1"/>
  <c r="M449" i="1"/>
  <c r="T448" i="1"/>
  <c r="R448" i="1"/>
  <c r="P448" i="1"/>
  <c r="M448" i="1"/>
  <c r="T447" i="1"/>
  <c r="R447" i="1"/>
  <c r="P447" i="1"/>
  <c r="M447" i="1"/>
  <c r="T445" i="1"/>
  <c r="R445" i="1"/>
  <c r="P445" i="1"/>
  <c r="M445" i="1"/>
  <c r="T444" i="1"/>
  <c r="R444" i="1"/>
  <c r="P444" i="1"/>
  <c r="M444" i="1"/>
  <c r="T443" i="1"/>
  <c r="R443" i="1"/>
  <c r="P443" i="1"/>
  <c r="M443" i="1"/>
  <c r="T441" i="1"/>
  <c r="R441" i="1"/>
  <c r="P441" i="1"/>
  <c r="M441" i="1"/>
  <c r="T440" i="1"/>
  <c r="R440" i="1"/>
  <c r="P440" i="1"/>
  <c r="M440" i="1"/>
  <c r="T439" i="1"/>
  <c r="R439" i="1"/>
  <c r="P439" i="1"/>
  <c r="M439" i="1"/>
  <c r="T437" i="1"/>
  <c r="R437" i="1"/>
  <c r="P437" i="1"/>
  <c r="M437" i="1"/>
  <c r="T436" i="1"/>
  <c r="R436" i="1"/>
  <c r="P436" i="1"/>
  <c r="M436" i="1"/>
  <c r="T435" i="1"/>
  <c r="R435" i="1"/>
  <c r="P435" i="1"/>
  <c r="M435" i="1"/>
  <c r="T434" i="1"/>
  <c r="R434" i="1"/>
  <c r="P434" i="1"/>
  <c r="M434" i="1"/>
  <c r="T432" i="1"/>
  <c r="R432" i="1"/>
  <c r="P432" i="1"/>
  <c r="M432" i="1"/>
  <c r="T430" i="1"/>
  <c r="R430" i="1"/>
  <c r="P430" i="1"/>
  <c r="M430" i="1"/>
  <c r="T429" i="1"/>
  <c r="R429" i="1"/>
  <c r="P429" i="1"/>
  <c r="M429" i="1"/>
  <c r="T428" i="1"/>
  <c r="R428" i="1"/>
  <c r="P428" i="1"/>
  <c r="M428" i="1"/>
  <c r="T426" i="1"/>
  <c r="R426" i="1"/>
  <c r="P426" i="1"/>
  <c r="M426" i="1"/>
  <c r="T425" i="1"/>
  <c r="R425" i="1"/>
  <c r="P425" i="1"/>
  <c r="M425" i="1"/>
  <c r="T423" i="1"/>
  <c r="R423" i="1"/>
  <c r="P423" i="1"/>
  <c r="M423" i="1"/>
  <c r="T422" i="1"/>
  <c r="R422" i="1"/>
  <c r="P422" i="1"/>
  <c r="M422" i="1"/>
  <c r="T421" i="1"/>
  <c r="R421" i="1"/>
  <c r="P421" i="1"/>
  <c r="M421" i="1"/>
  <c r="T419" i="1"/>
  <c r="R419" i="1"/>
  <c r="P419" i="1"/>
  <c r="M419" i="1"/>
  <c r="T418" i="1"/>
  <c r="R418" i="1"/>
  <c r="P418" i="1"/>
  <c r="M418" i="1"/>
  <c r="T417" i="1"/>
  <c r="R417" i="1"/>
  <c r="P417" i="1"/>
  <c r="M417" i="1"/>
  <c r="T416" i="1"/>
  <c r="R416" i="1"/>
  <c r="P416" i="1"/>
  <c r="M416" i="1"/>
  <c r="T415" i="1"/>
  <c r="R415" i="1"/>
  <c r="P415" i="1"/>
  <c r="M415" i="1"/>
  <c r="T414" i="1"/>
  <c r="R414" i="1"/>
  <c r="P414" i="1"/>
  <c r="M414" i="1"/>
  <c r="T413" i="1"/>
  <c r="R413" i="1"/>
  <c r="P413" i="1"/>
  <c r="M413" i="1"/>
  <c r="T412" i="1"/>
  <c r="R412" i="1"/>
  <c r="P412" i="1"/>
  <c r="M412" i="1"/>
  <c r="T411" i="1"/>
  <c r="R411" i="1"/>
  <c r="P411" i="1"/>
  <c r="M411" i="1"/>
  <c r="T410" i="1"/>
  <c r="R410" i="1"/>
  <c r="P410" i="1"/>
  <c r="M410" i="1"/>
  <c r="T409" i="1"/>
  <c r="R409" i="1"/>
  <c r="P409" i="1"/>
  <c r="M409" i="1"/>
  <c r="T408" i="1"/>
  <c r="R408" i="1"/>
  <c r="P408" i="1"/>
  <c r="M408" i="1"/>
  <c r="T407" i="1"/>
  <c r="R407" i="1"/>
  <c r="P407" i="1"/>
  <c r="M407" i="1"/>
  <c r="T406" i="1"/>
  <c r="R406" i="1"/>
  <c r="P406" i="1"/>
  <c r="M406" i="1"/>
  <c r="T405" i="1"/>
  <c r="R405" i="1"/>
  <c r="P405" i="1"/>
  <c r="M405" i="1"/>
  <c r="T403" i="1"/>
  <c r="R403" i="1"/>
  <c r="P403" i="1"/>
  <c r="M403" i="1"/>
  <c r="T402" i="1"/>
  <c r="R402" i="1"/>
  <c r="P402" i="1"/>
  <c r="M402" i="1"/>
  <c r="T401" i="1"/>
  <c r="R401" i="1"/>
  <c r="P401" i="1"/>
  <c r="M401" i="1"/>
  <c r="T399" i="1"/>
  <c r="R399" i="1"/>
  <c r="P399" i="1"/>
  <c r="M399" i="1"/>
  <c r="T398" i="1"/>
  <c r="R398" i="1"/>
  <c r="P398" i="1"/>
  <c r="M398" i="1"/>
  <c r="T397" i="1"/>
  <c r="R397" i="1"/>
  <c r="P397" i="1"/>
  <c r="M397" i="1"/>
  <c r="T396" i="1"/>
  <c r="R396" i="1"/>
  <c r="P396" i="1"/>
  <c r="M396" i="1"/>
  <c r="T395" i="1"/>
  <c r="R395" i="1"/>
  <c r="P395" i="1"/>
  <c r="M395" i="1"/>
  <c r="T394" i="1"/>
  <c r="R394" i="1"/>
  <c r="P394" i="1"/>
  <c r="M394" i="1"/>
  <c r="T393" i="1"/>
  <c r="R393" i="1"/>
  <c r="P393" i="1"/>
  <c r="M393" i="1"/>
  <c r="T391" i="1"/>
  <c r="R391" i="1"/>
  <c r="P391" i="1"/>
  <c r="M391" i="1"/>
  <c r="T390" i="1"/>
  <c r="R390" i="1"/>
  <c r="P390" i="1"/>
  <c r="M390" i="1"/>
  <c r="T389" i="1"/>
  <c r="R389" i="1"/>
  <c r="P389" i="1"/>
  <c r="M389" i="1"/>
  <c r="T388" i="1"/>
  <c r="R388" i="1"/>
  <c r="P388" i="1"/>
  <c r="M388" i="1"/>
  <c r="T387" i="1"/>
  <c r="R387" i="1"/>
  <c r="P387" i="1"/>
  <c r="M387" i="1"/>
  <c r="T386" i="1"/>
  <c r="R386" i="1"/>
  <c r="P386" i="1"/>
  <c r="M386" i="1"/>
  <c r="T384" i="1"/>
  <c r="R384" i="1"/>
  <c r="P384" i="1"/>
  <c r="M384" i="1"/>
  <c r="T383" i="1"/>
  <c r="R383" i="1"/>
  <c r="P383" i="1"/>
  <c r="M383" i="1"/>
  <c r="T382" i="1"/>
  <c r="R382" i="1"/>
  <c r="P382" i="1"/>
  <c r="M382" i="1"/>
  <c r="T381" i="1"/>
  <c r="R381" i="1"/>
  <c r="P381" i="1"/>
  <c r="M381" i="1"/>
  <c r="T380" i="1"/>
  <c r="R380" i="1"/>
  <c r="P380" i="1"/>
  <c r="M380" i="1"/>
  <c r="T379" i="1"/>
  <c r="R379" i="1"/>
  <c r="P379" i="1"/>
  <c r="M379" i="1"/>
  <c r="T378" i="1"/>
  <c r="R378" i="1"/>
  <c r="P378" i="1"/>
  <c r="M378" i="1"/>
  <c r="T376" i="1"/>
  <c r="R376" i="1"/>
  <c r="P376" i="1"/>
  <c r="M376" i="1"/>
  <c r="T374" i="1"/>
  <c r="R374" i="1"/>
  <c r="P374" i="1"/>
  <c r="M374" i="1"/>
  <c r="T373" i="1"/>
  <c r="R373" i="1"/>
  <c r="P373" i="1"/>
  <c r="M373" i="1"/>
  <c r="T372" i="1"/>
  <c r="R372" i="1"/>
  <c r="P372" i="1"/>
  <c r="M372" i="1"/>
  <c r="T370" i="1"/>
  <c r="R370" i="1"/>
  <c r="P370" i="1"/>
  <c r="M370" i="1"/>
  <c r="T368" i="1"/>
  <c r="R368" i="1"/>
  <c r="P368" i="1"/>
  <c r="M368" i="1"/>
  <c r="T366" i="1"/>
  <c r="R366" i="1"/>
  <c r="P366" i="1"/>
  <c r="M366" i="1"/>
  <c r="T365" i="1"/>
  <c r="R365" i="1"/>
  <c r="P365" i="1"/>
  <c r="M365" i="1"/>
  <c r="T364" i="1"/>
  <c r="R364" i="1"/>
  <c r="P364" i="1"/>
  <c r="M364" i="1"/>
  <c r="T362" i="1"/>
  <c r="R362" i="1"/>
  <c r="P362" i="1"/>
  <c r="M362" i="1"/>
  <c r="T361" i="1"/>
  <c r="R361" i="1"/>
  <c r="P361" i="1"/>
  <c r="M361" i="1"/>
  <c r="T359" i="1"/>
  <c r="R359" i="1"/>
  <c r="P359" i="1"/>
  <c r="M359" i="1"/>
  <c r="T358" i="1"/>
  <c r="R358" i="1"/>
  <c r="P358" i="1"/>
  <c r="M358" i="1"/>
  <c r="T357" i="1"/>
  <c r="R357" i="1"/>
  <c r="P357" i="1"/>
  <c r="M357" i="1"/>
  <c r="T355" i="1"/>
  <c r="R355" i="1"/>
  <c r="P355" i="1"/>
  <c r="M355" i="1"/>
  <c r="T353" i="1"/>
  <c r="R353" i="1"/>
  <c r="P353" i="1"/>
  <c r="M353" i="1"/>
  <c r="T352" i="1"/>
  <c r="R352" i="1"/>
  <c r="P352" i="1"/>
  <c r="M352" i="1"/>
  <c r="T351" i="1"/>
  <c r="R351" i="1"/>
  <c r="P351" i="1"/>
  <c r="M351" i="1"/>
  <c r="T350" i="1"/>
  <c r="R350" i="1"/>
  <c r="P350" i="1"/>
  <c r="M350" i="1"/>
  <c r="T349" i="1"/>
  <c r="R349" i="1"/>
  <c r="P349" i="1"/>
  <c r="M349" i="1"/>
  <c r="T348" i="1"/>
  <c r="R348" i="1"/>
  <c r="P348" i="1"/>
  <c r="M348" i="1"/>
  <c r="T347" i="1"/>
  <c r="R347" i="1"/>
  <c r="P347" i="1"/>
  <c r="M347" i="1"/>
  <c r="T346" i="1"/>
  <c r="R346" i="1"/>
  <c r="P346" i="1"/>
  <c r="M346" i="1"/>
  <c r="T345" i="1"/>
  <c r="R345" i="1"/>
  <c r="P345" i="1"/>
  <c r="M345" i="1"/>
  <c r="T344" i="1"/>
  <c r="R344" i="1"/>
  <c r="P344" i="1"/>
  <c r="M344" i="1"/>
  <c r="T343" i="1"/>
  <c r="R343" i="1"/>
  <c r="P343" i="1"/>
  <c r="M343" i="1"/>
  <c r="T342" i="1"/>
  <c r="R342" i="1"/>
  <c r="P342" i="1"/>
  <c r="M342" i="1"/>
  <c r="T341" i="1"/>
  <c r="R341" i="1"/>
  <c r="P341" i="1"/>
  <c r="M341" i="1"/>
  <c r="T340" i="1"/>
  <c r="R340" i="1"/>
  <c r="P340" i="1"/>
  <c r="M340" i="1"/>
  <c r="T339" i="1"/>
  <c r="R339" i="1"/>
  <c r="P339" i="1"/>
  <c r="M339" i="1"/>
  <c r="T338" i="1"/>
  <c r="R338" i="1"/>
  <c r="P338" i="1"/>
  <c r="M338" i="1"/>
  <c r="T337" i="1"/>
  <c r="R337" i="1"/>
  <c r="P337" i="1"/>
  <c r="M337" i="1"/>
  <c r="T336" i="1"/>
  <c r="R336" i="1"/>
  <c r="P336" i="1"/>
  <c r="M336" i="1"/>
  <c r="T335" i="1"/>
  <c r="R335" i="1"/>
  <c r="P335" i="1"/>
  <c r="M335" i="1"/>
  <c r="T334" i="1"/>
  <c r="R334" i="1"/>
  <c r="P334" i="1"/>
  <c r="M334" i="1"/>
  <c r="T333" i="1"/>
  <c r="R333" i="1"/>
  <c r="P333" i="1"/>
  <c r="M333" i="1"/>
  <c r="T332" i="1"/>
  <c r="R332" i="1"/>
  <c r="P332" i="1"/>
  <c r="M332" i="1"/>
  <c r="T331" i="1"/>
  <c r="R331" i="1"/>
  <c r="P331" i="1"/>
  <c r="M331" i="1"/>
  <c r="T329" i="1"/>
  <c r="R329" i="1"/>
  <c r="P329" i="1"/>
  <c r="M329" i="1"/>
  <c r="T328" i="1"/>
  <c r="R328" i="1"/>
  <c r="P328" i="1"/>
  <c r="M328" i="1"/>
  <c r="T327" i="1"/>
  <c r="R327" i="1"/>
  <c r="P327" i="1"/>
  <c r="M327" i="1"/>
  <c r="T326" i="1"/>
  <c r="R326" i="1"/>
  <c r="P326" i="1"/>
  <c r="M326" i="1"/>
  <c r="T325" i="1"/>
  <c r="R325" i="1"/>
  <c r="P325" i="1"/>
  <c r="M325" i="1"/>
  <c r="T323" i="1"/>
  <c r="R323" i="1"/>
  <c r="P323" i="1"/>
  <c r="M323" i="1"/>
  <c r="T322" i="1"/>
  <c r="R322" i="1"/>
  <c r="P322" i="1"/>
  <c r="M322" i="1"/>
  <c r="T321" i="1"/>
  <c r="R321" i="1"/>
  <c r="P321" i="1"/>
  <c r="M321" i="1"/>
  <c r="T320" i="1"/>
  <c r="R320" i="1"/>
  <c r="P320" i="1"/>
  <c r="M320" i="1"/>
  <c r="T319" i="1"/>
  <c r="R319" i="1"/>
  <c r="P319" i="1"/>
  <c r="M319" i="1"/>
  <c r="T318" i="1"/>
  <c r="R318" i="1"/>
  <c r="P318" i="1"/>
  <c r="M318" i="1"/>
  <c r="T316" i="1"/>
  <c r="R316" i="1"/>
  <c r="P316" i="1"/>
  <c r="M316" i="1"/>
  <c r="T315" i="1"/>
  <c r="R315" i="1"/>
  <c r="P315" i="1"/>
  <c r="M315" i="1"/>
  <c r="T314" i="1"/>
  <c r="R314" i="1"/>
  <c r="P314" i="1"/>
  <c r="M314" i="1"/>
  <c r="T313" i="1"/>
  <c r="R313" i="1"/>
  <c r="P313" i="1"/>
  <c r="M313" i="1"/>
  <c r="T312" i="1"/>
  <c r="R312" i="1"/>
  <c r="P312" i="1"/>
  <c r="M312" i="1"/>
  <c r="T311" i="1"/>
  <c r="R311" i="1"/>
  <c r="P311" i="1"/>
  <c r="M311" i="1"/>
  <c r="T310" i="1"/>
  <c r="R310" i="1"/>
  <c r="P310" i="1"/>
  <c r="M310" i="1"/>
  <c r="T309" i="1"/>
  <c r="R309" i="1"/>
  <c r="P309" i="1"/>
  <c r="M309" i="1"/>
  <c r="T308" i="1"/>
  <c r="R308" i="1"/>
  <c r="P308" i="1"/>
  <c r="M308" i="1"/>
  <c r="T306" i="1"/>
  <c r="R306" i="1"/>
  <c r="P306" i="1"/>
  <c r="M306" i="1"/>
  <c r="T305" i="1"/>
  <c r="R305" i="1"/>
  <c r="P305" i="1"/>
  <c r="M305" i="1"/>
  <c r="T304" i="1"/>
  <c r="R304" i="1"/>
  <c r="P304" i="1"/>
  <c r="M304" i="1"/>
  <c r="T303" i="1"/>
  <c r="R303" i="1"/>
  <c r="P303" i="1"/>
  <c r="M303" i="1"/>
  <c r="T302" i="1"/>
  <c r="R302" i="1"/>
  <c r="P302" i="1"/>
  <c r="M302" i="1"/>
  <c r="T301" i="1"/>
  <c r="R301" i="1"/>
  <c r="P301" i="1"/>
  <c r="M301" i="1"/>
  <c r="T300" i="1"/>
  <c r="R300" i="1"/>
  <c r="P300" i="1"/>
  <c r="M300" i="1"/>
  <c r="T299" i="1"/>
  <c r="R299" i="1"/>
  <c r="P299" i="1"/>
  <c r="M299" i="1"/>
  <c r="T298" i="1"/>
  <c r="R298" i="1"/>
  <c r="P298" i="1"/>
  <c r="M298" i="1"/>
  <c r="T295" i="1"/>
  <c r="R295" i="1"/>
  <c r="P295" i="1"/>
  <c r="M295" i="1"/>
  <c r="T294" i="1"/>
  <c r="R294" i="1"/>
  <c r="P294" i="1"/>
  <c r="M294" i="1"/>
  <c r="T293" i="1"/>
  <c r="R293" i="1"/>
  <c r="P293" i="1"/>
  <c r="M293" i="1"/>
  <c r="T292" i="1"/>
  <c r="R292" i="1"/>
  <c r="P292" i="1"/>
  <c r="M292" i="1"/>
  <c r="T291" i="1"/>
  <c r="R291" i="1"/>
  <c r="P291" i="1"/>
  <c r="M291" i="1"/>
  <c r="T289" i="1"/>
  <c r="R289" i="1"/>
  <c r="P289" i="1"/>
  <c r="M289" i="1"/>
  <c r="T288" i="1"/>
  <c r="R288" i="1"/>
  <c r="P288" i="1"/>
  <c r="M288" i="1"/>
  <c r="T287" i="1"/>
  <c r="R287" i="1"/>
  <c r="P287" i="1"/>
  <c r="M287" i="1"/>
  <c r="T286" i="1"/>
  <c r="R286" i="1"/>
  <c r="P286" i="1"/>
  <c r="M286" i="1"/>
  <c r="T285" i="1"/>
  <c r="R285" i="1"/>
  <c r="P285" i="1"/>
  <c r="M285" i="1"/>
  <c r="T284" i="1"/>
  <c r="R284" i="1"/>
  <c r="P284" i="1"/>
  <c r="M284" i="1"/>
  <c r="T283" i="1"/>
  <c r="R283" i="1"/>
  <c r="P283" i="1"/>
  <c r="M283" i="1"/>
  <c r="T282" i="1"/>
  <c r="R282" i="1"/>
  <c r="P282" i="1"/>
  <c r="M282" i="1"/>
  <c r="T281" i="1"/>
  <c r="R281" i="1"/>
  <c r="P281" i="1"/>
  <c r="M281" i="1"/>
  <c r="T280" i="1"/>
  <c r="R280" i="1"/>
  <c r="P280" i="1"/>
  <c r="M280" i="1"/>
  <c r="T279" i="1"/>
  <c r="R279" i="1"/>
  <c r="P279" i="1"/>
  <c r="M279" i="1"/>
  <c r="T278" i="1"/>
  <c r="R278" i="1"/>
  <c r="P278" i="1"/>
  <c r="M278" i="1"/>
  <c r="T277" i="1"/>
  <c r="R277" i="1"/>
  <c r="P277" i="1"/>
  <c r="M277" i="1"/>
  <c r="T276" i="1"/>
  <c r="R276" i="1"/>
  <c r="P276" i="1"/>
  <c r="M276" i="1"/>
  <c r="T275" i="1"/>
  <c r="R275" i="1"/>
  <c r="P275" i="1"/>
  <c r="M275" i="1"/>
  <c r="T274" i="1"/>
  <c r="R274" i="1"/>
  <c r="P274" i="1"/>
  <c r="M274" i="1"/>
  <c r="T272" i="1"/>
  <c r="R272" i="1"/>
  <c r="P272" i="1"/>
  <c r="M272" i="1"/>
  <c r="T271" i="1"/>
  <c r="R271" i="1"/>
  <c r="P271" i="1"/>
  <c r="M271" i="1"/>
  <c r="T270" i="1"/>
  <c r="R270" i="1"/>
  <c r="P270" i="1"/>
  <c r="M270" i="1"/>
  <c r="T269" i="1"/>
  <c r="R269" i="1"/>
  <c r="P269" i="1"/>
  <c r="M269" i="1"/>
  <c r="T268" i="1"/>
  <c r="R268" i="1"/>
  <c r="P268" i="1"/>
  <c r="M268" i="1"/>
  <c r="T267" i="1"/>
  <c r="R267" i="1"/>
  <c r="P267" i="1"/>
  <c r="M267" i="1"/>
  <c r="T266" i="1"/>
  <c r="R266" i="1"/>
  <c r="P266" i="1"/>
  <c r="M266" i="1"/>
  <c r="T265" i="1"/>
  <c r="R265" i="1"/>
  <c r="P265" i="1"/>
  <c r="M265" i="1"/>
  <c r="T264" i="1"/>
  <c r="R264" i="1"/>
  <c r="P264" i="1"/>
  <c r="M264" i="1"/>
  <c r="T262" i="1"/>
  <c r="R262" i="1"/>
  <c r="P262" i="1"/>
  <c r="M262" i="1"/>
  <c r="T261" i="1"/>
  <c r="R261" i="1"/>
  <c r="P261" i="1"/>
  <c r="M261" i="1"/>
  <c r="T260" i="1"/>
  <c r="R260" i="1"/>
  <c r="P260" i="1"/>
  <c r="M260" i="1"/>
  <c r="T259" i="1"/>
  <c r="R259" i="1"/>
  <c r="P259" i="1"/>
  <c r="M259" i="1"/>
  <c r="T258" i="1"/>
  <c r="R258" i="1"/>
  <c r="P258" i="1"/>
  <c r="M258" i="1"/>
  <c r="T256" i="1"/>
  <c r="R256" i="1"/>
  <c r="P256" i="1"/>
  <c r="M256" i="1"/>
  <c r="T255" i="1"/>
  <c r="R255" i="1"/>
  <c r="P255" i="1"/>
  <c r="M255" i="1"/>
  <c r="T253" i="1"/>
  <c r="R253" i="1"/>
  <c r="P253" i="1"/>
  <c r="M253" i="1"/>
  <c r="T252" i="1"/>
  <c r="R252" i="1"/>
  <c r="P252" i="1"/>
  <c r="M252" i="1"/>
  <c r="T250" i="1"/>
  <c r="R250" i="1"/>
  <c r="P250" i="1"/>
  <c r="M250" i="1"/>
  <c r="T249" i="1"/>
  <c r="R249" i="1"/>
  <c r="P249" i="1"/>
  <c r="M249" i="1"/>
  <c r="T248" i="1"/>
  <c r="R248" i="1"/>
  <c r="P248" i="1"/>
  <c r="M248" i="1"/>
  <c r="T246" i="1"/>
  <c r="R246" i="1"/>
  <c r="P246" i="1"/>
  <c r="M246" i="1"/>
  <c r="T245" i="1"/>
  <c r="R245" i="1"/>
  <c r="P245" i="1"/>
  <c r="M245" i="1"/>
  <c r="T244" i="1"/>
  <c r="R244" i="1"/>
  <c r="P244" i="1"/>
  <c r="M244" i="1"/>
  <c r="T242" i="1"/>
  <c r="R242" i="1"/>
  <c r="P242" i="1"/>
  <c r="M242" i="1"/>
  <c r="T241" i="1"/>
  <c r="R241" i="1"/>
  <c r="P241" i="1"/>
  <c r="M241" i="1"/>
  <c r="T240" i="1"/>
  <c r="R240" i="1"/>
  <c r="P240" i="1"/>
  <c r="M240" i="1"/>
  <c r="T238" i="1"/>
  <c r="R238" i="1"/>
  <c r="P238" i="1"/>
  <c r="M238" i="1"/>
  <c r="T237" i="1"/>
  <c r="R237" i="1"/>
  <c r="P237" i="1"/>
  <c r="M237" i="1"/>
  <c r="T236" i="1"/>
  <c r="R236" i="1"/>
  <c r="P236" i="1"/>
  <c r="M236" i="1"/>
  <c r="T235" i="1"/>
  <c r="R235" i="1"/>
  <c r="P235" i="1"/>
  <c r="M235" i="1"/>
  <c r="T234" i="1"/>
  <c r="R234" i="1"/>
  <c r="P234" i="1"/>
  <c r="M234" i="1"/>
  <c r="T233" i="1"/>
  <c r="R233" i="1"/>
  <c r="P233" i="1"/>
  <c r="M233" i="1"/>
  <c r="T232" i="1"/>
  <c r="R232" i="1"/>
  <c r="P232" i="1"/>
  <c r="M232" i="1"/>
  <c r="T231" i="1"/>
  <c r="R231" i="1"/>
  <c r="P231" i="1"/>
  <c r="M231" i="1"/>
  <c r="T230" i="1"/>
  <c r="R230" i="1"/>
  <c r="P230" i="1"/>
  <c r="M230" i="1"/>
  <c r="T229" i="1"/>
  <c r="R229" i="1"/>
  <c r="P229" i="1"/>
  <c r="M229" i="1"/>
  <c r="T227" i="1"/>
  <c r="R227" i="1"/>
  <c r="P227" i="1"/>
  <c r="M227" i="1"/>
  <c r="T226" i="1"/>
  <c r="R226" i="1"/>
  <c r="P226" i="1"/>
  <c r="M226" i="1"/>
  <c r="T225" i="1"/>
  <c r="R225" i="1"/>
  <c r="P225" i="1"/>
  <c r="M225" i="1"/>
  <c r="T224" i="1"/>
  <c r="R224" i="1"/>
  <c r="P224" i="1"/>
  <c r="M224" i="1"/>
  <c r="T223" i="1"/>
  <c r="R223" i="1"/>
  <c r="P223" i="1"/>
  <c r="M223" i="1"/>
  <c r="T221" i="1"/>
  <c r="R221" i="1"/>
  <c r="P221" i="1"/>
  <c r="M221" i="1"/>
  <c r="T220" i="1"/>
  <c r="R220" i="1"/>
  <c r="P220" i="1"/>
  <c r="M220" i="1"/>
  <c r="T219" i="1"/>
  <c r="R219" i="1"/>
  <c r="P219" i="1"/>
  <c r="M219" i="1"/>
  <c r="T217" i="1"/>
  <c r="R217" i="1"/>
  <c r="P217" i="1"/>
  <c r="M217" i="1"/>
  <c r="T216" i="1"/>
  <c r="R216" i="1"/>
  <c r="P216" i="1"/>
  <c r="M216" i="1"/>
  <c r="T215" i="1"/>
  <c r="R215" i="1"/>
  <c r="P215" i="1"/>
  <c r="M215" i="1"/>
  <c r="T214" i="1"/>
  <c r="R214" i="1"/>
  <c r="P214" i="1"/>
  <c r="M214" i="1"/>
  <c r="T213" i="1"/>
  <c r="R213" i="1"/>
  <c r="P213" i="1"/>
  <c r="M213" i="1"/>
  <c r="T212" i="1"/>
  <c r="R212" i="1"/>
  <c r="P212" i="1"/>
  <c r="M212" i="1"/>
  <c r="T211" i="1"/>
  <c r="R211" i="1"/>
  <c r="P211" i="1"/>
  <c r="M211" i="1"/>
  <c r="T210" i="1"/>
  <c r="R210" i="1"/>
  <c r="P210" i="1"/>
  <c r="M210" i="1"/>
  <c r="T209" i="1"/>
  <c r="R209" i="1"/>
  <c r="P209" i="1"/>
  <c r="M209" i="1"/>
  <c r="T208" i="1"/>
  <c r="R208" i="1"/>
  <c r="P208" i="1"/>
  <c r="M208" i="1"/>
  <c r="T207" i="1"/>
  <c r="R207" i="1"/>
  <c r="P207" i="1"/>
  <c r="M207" i="1"/>
  <c r="T206" i="1"/>
  <c r="R206" i="1"/>
  <c r="P206" i="1"/>
  <c r="M206" i="1"/>
  <c r="T205" i="1"/>
  <c r="R205" i="1"/>
  <c r="P205" i="1"/>
  <c r="M205" i="1"/>
  <c r="T204" i="1"/>
  <c r="R204" i="1"/>
  <c r="P204" i="1"/>
  <c r="M204" i="1"/>
  <c r="T203" i="1"/>
  <c r="R203" i="1"/>
  <c r="P203" i="1"/>
  <c r="M203" i="1"/>
  <c r="M94" i="1"/>
  <c r="M93" i="1"/>
  <c r="P93" i="1" s="1"/>
  <c r="R93" i="1" s="1"/>
  <c r="T93" i="1" s="1"/>
  <c r="M92" i="1"/>
  <c r="P92" i="1" s="1"/>
  <c r="R92" i="1" s="1"/>
  <c r="T92" i="1" s="1"/>
  <c r="P91" i="1"/>
  <c r="R91" i="1" s="1"/>
  <c r="T91" i="1" s="1"/>
  <c r="M91" i="1"/>
  <c r="M90" i="1"/>
  <c r="P90" i="1" s="1"/>
  <c r="R90" i="1" s="1"/>
  <c r="T90" i="1" s="1"/>
  <c r="M89" i="1"/>
  <c r="P89" i="1" s="1"/>
  <c r="R89" i="1" s="1"/>
  <c r="T89" i="1" s="1"/>
  <c r="M88" i="1"/>
  <c r="P88" i="1" s="1"/>
  <c r="R88" i="1" s="1"/>
  <c r="T88" i="1" s="1"/>
  <c r="M87" i="1"/>
  <c r="P87" i="1" s="1"/>
  <c r="R87" i="1" s="1"/>
  <c r="T87" i="1" s="1"/>
  <c r="M86" i="1"/>
  <c r="P86" i="1" s="1"/>
  <c r="R86" i="1" s="1"/>
  <c r="T86" i="1" s="1"/>
  <c r="P85" i="1"/>
  <c r="R85" i="1" s="1"/>
  <c r="T85" i="1" s="1"/>
  <c r="M85" i="1"/>
  <c r="M84" i="1"/>
  <c r="P84" i="1" s="1"/>
  <c r="R84" i="1" s="1"/>
  <c r="T84" i="1" s="1"/>
  <c r="M83" i="1"/>
  <c r="P83" i="1" s="1"/>
  <c r="R83" i="1" s="1"/>
  <c r="T83" i="1" s="1"/>
  <c r="M82" i="1"/>
  <c r="P82" i="1" s="1"/>
  <c r="R82" i="1" s="1"/>
  <c r="T82" i="1" s="1"/>
  <c r="M81" i="1"/>
  <c r="P81" i="1" s="1"/>
  <c r="R81" i="1" s="1"/>
  <c r="T81" i="1" s="1"/>
  <c r="M80" i="1"/>
  <c r="P80" i="1" s="1"/>
  <c r="R80" i="1" s="1"/>
  <c r="T80" i="1" s="1"/>
  <c r="M79" i="1"/>
  <c r="P79" i="1" s="1"/>
  <c r="R79" i="1" s="1"/>
  <c r="T79" i="1" s="1"/>
  <c r="M78" i="1"/>
  <c r="P78" i="1" s="1"/>
  <c r="R78" i="1" s="1"/>
  <c r="T78" i="1" s="1"/>
  <c r="M77" i="1"/>
  <c r="P77" i="1" s="1"/>
  <c r="R77" i="1" s="1"/>
  <c r="T77" i="1" s="1"/>
  <c r="M76" i="1"/>
  <c r="P76" i="1" s="1"/>
  <c r="R76" i="1" s="1"/>
  <c r="T76" i="1" s="1"/>
  <c r="M75" i="1"/>
  <c r="P75" i="1" s="1"/>
  <c r="R75" i="1" s="1"/>
  <c r="T75" i="1" s="1"/>
  <c r="M74" i="1"/>
  <c r="P74" i="1" s="1"/>
  <c r="R74" i="1" s="1"/>
  <c r="T74" i="1" s="1"/>
  <c r="M73" i="1"/>
  <c r="P73" i="1" s="1"/>
  <c r="R73" i="1" s="1"/>
  <c r="T73" i="1" s="1"/>
  <c r="P72" i="1"/>
  <c r="R72" i="1" s="1"/>
  <c r="T72" i="1" s="1"/>
  <c r="M72" i="1"/>
  <c r="M71" i="1"/>
  <c r="M70" i="1"/>
  <c r="P70" i="1" s="1"/>
  <c r="R70" i="1" s="1"/>
  <c r="T70" i="1" s="1"/>
  <c r="M69" i="1"/>
  <c r="P69" i="1" s="1"/>
  <c r="R69" i="1" s="1"/>
  <c r="T69" i="1" s="1"/>
  <c r="M68" i="1"/>
  <c r="P68" i="1" s="1"/>
  <c r="R68" i="1" s="1"/>
  <c r="T68" i="1" s="1"/>
  <c r="M67" i="1"/>
  <c r="P67" i="1" s="1"/>
  <c r="R67" i="1" s="1"/>
  <c r="T67" i="1" s="1"/>
  <c r="M66" i="1"/>
  <c r="P66" i="1" s="1"/>
  <c r="R66" i="1" s="1"/>
  <c r="T66" i="1" s="1"/>
  <c r="M65" i="1"/>
  <c r="P65" i="1" s="1"/>
  <c r="R65" i="1" s="1"/>
  <c r="T65" i="1" s="1"/>
  <c r="M64" i="1"/>
  <c r="P64" i="1" s="1"/>
  <c r="R64" i="1" s="1"/>
  <c r="T64" i="1" s="1"/>
  <c r="M63" i="1"/>
  <c r="P63" i="1" s="1"/>
  <c r="R63" i="1" s="1"/>
  <c r="T63" i="1" s="1"/>
  <c r="M62" i="1"/>
  <c r="P62" i="1" s="1"/>
  <c r="R62" i="1" s="1"/>
  <c r="T62" i="1" s="1"/>
  <c r="P61" i="1"/>
  <c r="R61" i="1" s="1"/>
  <c r="T61" i="1" s="1"/>
  <c r="M61" i="1"/>
  <c r="M60" i="1"/>
  <c r="P60" i="1" s="1"/>
  <c r="R60" i="1" s="1"/>
  <c r="T60" i="1" s="1"/>
  <c r="M59" i="1"/>
  <c r="P59" i="1" s="1"/>
  <c r="R59" i="1" s="1"/>
  <c r="T59" i="1" s="1"/>
  <c r="M58" i="1"/>
  <c r="P58" i="1" s="1"/>
  <c r="R58" i="1" s="1"/>
  <c r="T58" i="1" s="1"/>
  <c r="M57" i="1"/>
  <c r="P57" i="1" s="1"/>
  <c r="R57" i="1" s="1"/>
  <c r="T57" i="1" s="1"/>
  <c r="M56" i="1"/>
  <c r="P56" i="1" s="1"/>
  <c r="R56" i="1" s="1"/>
  <c r="T56" i="1" s="1"/>
  <c r="M55" i="1"/>
  <c r="P55" i="1" s="1"/>
  <c r="R55" i="1" s="1"/>
  <c r="T55" i="1" s="1"/>
  <c r="M54" i="1"/>
  <c r="P54" i="1" s="1"/>
  <c r="R54" i="1" s="1"/>
  <c r="T54" i="1" s="1"/>
  <c r="M53" i="1"/>
  <c r="P53" i="1" s="1"/>
  <c r="R53" i="1" s="1"/>
  <c r="T53" i="1" s="1"/>
  <c r="M52" i="1"/>
  <c r="P52" i="1" s="1"/>
  <c r="R52" i="1" s="1"/>
  <c r="T52" i="1" s="1"/>
  <c r="M51" i="1"/>
  <c r="M50" i="1"/>
  <c r="M49" i="1"/>
  <c r="M48" i="1"/>
  <c r="M47" i="1"/>
  <c r="M46" i="1"/>
  <c r="P46" i="1" s="1"/>
  <c r="R46" i="1" s="1"/>
  <c r="T46" i="1" s="1"/>
  <c r="M45" i="1"/>
  <c r="P45" i="1" s="1"/>
  <c r="R45" i="1" s="1"/>
  <c r="T45" i="1" s="1"/>
  <c r="P44" i="1"/>
  <c r="R44" i="1" s="1"/>
  <c r="T44" i="1" s="1"/>
  <c r="M44" i="1"/>
  <c r="M43" i="1"/>
  <c r="P43" i="1" s="1"/>
  <c r="R43" i="1" s="1"/>
  <c r="T43" i="1" s="1"/>
  <c r="M42" i="1"/>
  <c r="P42" i="1" s="1"/>
  <c r="R42" i="1" s="1"/>
  <c r="T42" i="1" s="1"/>
  <c r="M41" i="1"/>
  <c r="P41" i="1" s="1"/>
  <c r="R41" i="1" s="1"/>
  <c r="T41" i="1" s="1"/>
  <c r="M40" i="1"/>
  <c r="P40" i="1" s="1"/>
  <c r="R40" i="1" s="1"/>
  <c r="T40" i="1" s="1"/>
  <c r="M39" i="1"/>
  <c r="P39" i="1" s="1"/>
  <c r="R39" i="1" s="1"/>
  <c r="T39" i="1" s="1"/>
  <c r="M38" i="1"/>
  <c r="P38" i="1" s="1"/>
  <c r="R38" i="1" s="1"/>
  <c r="T38" i="1" s="1"/>
  <c r="M37" i="1"/>
  <c r="P37" i="1" s="1"/>
  <c r="R37" i="1" s="1"/>
  <c r="T37" i="1" s="1"/>
  <c r="M36" i="1"/>
  <c r="P36" i="1" s="1"/>
  <c r="R36" i="1" s="1"/>
  <c r="T36" i="1" s="1"/>
  <c r="M35" i="1"/>
  <c r="P35" i="1" s="1"/>
  <c r="R35" i="1" s="1"/>
  <c r="T35" i="1" s="1"/>
  <c r="M34" i="1"/>
  <c r="P34" i="1" s="1"/>
  <c r="R34" i="1" s="1"/>
  <c r="T34" i="1" s="1"/>
  <c r="M33" i="1"/>
  <c r="P33" i="1" s="1"/>
  <c r="R33" i="1" s="1"/>
  <c r="T33" i="1" s="1"/>
  <c r="M32" i="1"/>
  <c r="P32" i="1" s="1"/>
  <c r="R32" i="1" s="1"/>
  <c r="T32" i="1" s="1"/>
  <c r="M31" i="1"/>
  <c r="P31" i="1" s="1"/>
  <c r="R31" i="1" s="1"/>
  <c r="T31" i="1" s="1"/>
  <c r="M30" i="1"/>
  <c r="P30" i="1" s="1"/>
  <c r="R30" i="1" s="1"/>
  <c r="T30" i="1" s="1"/>
  <c r="M29" i="1"/>
  <c r="P29" i="1" s="1"/>
  <c r="R29" i="1" s="1"/>
  <c r="T29" i="1" s="1"/>
  <c r="M28" i="1"/>
  <c r="P28" i="1" s="1"/>
  <c r="R28" i="1" s="1"/>
  <c r="T28" i="1" s="1"/>
  <c r="M27" i="1"/>
  <c r="P27" i="1" s="1"/>
  <c r="R27" i="1" s="1"/>
  <c r="T27" i="1" s="1"/>
  <c r="M26" i="1"/>
  <c r="P26" i="1" s="1"/>
  <c r="R26" i="1" s="1"/>
  <c r="T26" i="1" s="1"/>
  <c r="M25" i="1"/>
  <c r="P25" i="1" s="1"/>
  <c r="R25" i="1" s="1"/>
  <c r="T25" i="1" s="1"/>
  <c r="M24" i="1"/>
  <c r="P24" i="1" s="1"/>
  <c r="R24" i="1" s="1"/>
  <c r="T24" i="1" s="1"/>
  <c r="P23" i="1"/>
  <c r="R23" i="1" s="1"/>
  <c r="T23" i="1" s="1"/>
  <c r="M23" i="1"/>
  <c r="M22" i="1"/>
  <c r="P22" i="1" s="1"/>
  <c r="R22" i="1" s="1"/>
  <c r="T22" i="1" s="1"/>
  <c r="M21" i="1"/>
  <c r="P21" i="1" s="1"/>
  <c r="R21" i="1" s="1"/>
  <c r="T21" i="1" s="1"/>
  <c r="M20" i="1"/>
  <c r="P20" i="1" s="1"/>
  <c r="R20" i="1" s="1"/>
  <c r="T20" i="1" s="1"/>
  <c r="P19" i="1"/>
  <c r="R19" i="1" s="1"/>
  <c r="T19" i="1" s="1"/>
  <c r="M19" i="1"/>
  <c r="M18" i="1"/>
  <c r="P18" i="1" s="1"/>
  <c r="R18" i="1" s="1"/>
  <c r="T18" i="1" s="1"/>
  <c r="M17" i="1"/>
  <c r="P17" i="1" s="1"/>
  <c r="R17" i="1" s="1"/>
  <c r="T17" i="1" s="1"/>
  <c r="M16" i="1"/>
  <c r="P16" i="1" s="1"/>
  <c r="R16" i="1" s="1"/>
  <c r="T16" i="1" s="1"/>
  <c r="M15" i="1"/>
  <c r="P15" i="1" s="1"/>
  <c r="R15" i="1" s="1"/>
  <c r="T15" i="1" s="1"/>
  <c r="M14" i="1"/>
  <c r="P14" i="1" s="1"/>
  <c r="R14" i="1" s="1"/>
  <c r="T14" i="1" s="1"/>
  <c r="M13" i="1"/>
  <c r="P13" i="1" s="1"/>
  <c r="R13" i="1" s="1"/>
  <c r="T13" i="1" s="1"/>
  <c r="M12" i="1"/>
  <c r="P12" i="1" s="1"/>
  <c r="R12" i="1" s="1"/>
  <c r="T12" i="1" s="1"/>
  <c r="M11" i="1"/>
  <c r="P11" i="1" s="1"/>
  <c r="R11" i="1" s="1"/>
  <c r="T11" i="1" s="1"/>
  <c r="M10" i="1"/>
  <c r="P10" i="1" s="1"/>
  <c r="R10" i="1" s="1"/>
  <c r="T10" i="1" s="1"/>
  <c r="M9" i="1"/>
  <c r="P9" i="1" s="1"/>
  <c r="R9" i="1" s="1"/>
  <c r="T9" i="1" s="1"/>
  <c r="M8" i="1"/>
  <c r="P8" i="1" s="1"/>
  <c r="R8" i="1" s="1"/>
  <c r="T8" i="1" s="1"/>
  <c r="M7" i="1"/>
  <c r="P7" i="1" s="1"/>
  <c r="R7" i="1" s="1"/>
  <c r="T7" i="1" s="1"/>
  <c r="P4" i="1"/>
  <c r="R4" i="1" s="1"/>
  <c r="T4" i="1" s="1"/>
</calcChain>
</file>

<file path=xl/sharedStrings.xml><?xml version="1.0" encoding="utf-8"?>
<sst xmlns="http://schemas.openxmlformats.org/spreadsheetml/2006/main" count="4269" uniqueCount="733">
  <si>
    <t>序号</t>
  </si>
  <si>
    <t>功能名称</t>
  </si>
  <si>
    <t>功能描述</t>
  </si>
  <si>
    <t>需求跟踪阶段</t>
  </si>
  <si>
    <t>功能研发阶段</t>
  </si>
  <si>
    <t>内部测试阶段（内部、驻场）</t>
  </si>
  <si>
    <t>CNPE测试阶段</t>
  </si>
  <si>
    <t>功能部署迭代（试运行）阶段</t>
  </si>
  <si>
    <t>功能正式部署阶段</t>
  </si>
  <si>
    <t>延误原因</t>
  </si>
  <si>
    <t>延误责任方</t>
  </si>
  <si>
    <t>备注</t>
  </si>
  <si>
    <t>解决方案</t>
  </si>
  <si>
    <t>需求、研发跟踪人</t>
  </si>
  <si>
    <t>业主对接人</t>
  </si>
  <si>
    <t>需求启动时间</t>
  </si>
  <si>
    <t>需求确定时间</t>
  </si>
  <si>
    <t>需求进展情况说明</t>
  </si>
  <si>
    <t>研发负责人</t>
  </si>
  <si>
    <t>研发完成时间</t>
  </si>
  <si>
    <t>研发进展情况说明</t>
  </si>
  <si>
    <t>内测负责人</t>
  </si>
  <si>
    <t>内测完成时间</t>
  </si>
  <si>
    <t>内测进展情况说明</t>
  </si>
  <si>
    <t>CNPE对接人</t>
  </si>
  <si>
    <t>测试1时间</t>
  </si>
  <si>
    <t>测试1结果</t>
  </si>
  <si>
    <t>测试2时间</t>
  </si>
  <si>
    <t>测试2结果</t>
  </si>
  <si>
    <t>测试3时间</t>
  </si>
  <si>
    <t>测试3结果</t>
  </si>
  <si>
    <t>CNPE测试进展情况说明</t>
  </si>
  <si>
    <t>工程试运行上线时间</t>
  </si>
  <si>
    <t>试运行情况</t>
  </si>
  <si>
    <t>迭代（试运行）情况</t>
  </si>
  <si>
    <t>正式上线时间</t>
  </si>
  <si>
    <t>运行情况</t>
  </si>
  <si>
    <t>迭代（运行）情况</t>
  </si>
  <si>
    <t>平台功能部分</t>
  </si>
  <si>
    <t>功能菜单调整</t>
  </si>
  <si>
    <t>依据功能特点，以及功能划分，对平台功能菜单结构进行重新调整。</t>
  </si>
  <si>
    <t>文剑、肖睿、胡浩川、蒋锐</t>
  </si>
  <si>
    <t>吴永重</t>
  </si>
  <si>
    <t>正在进行菜单确认</t>
  </si>
  <si>
    <t>胡浩川</t>
  </si>
  <si>
    <t>菜单已按照需求梳理完成，目前正在确认，确认完成后调整菜单结构</t>
  </si>
  <si>
    <t>文剑、肖睿、何松、岳沛枭</t>
  </si>
  <si>
    <t>康伟平</t>
  </si>
  <si>
    <t>存在的问题</t>
  </si>
  <si>
    <t>设计输入</t>
  </si>
  <si>
    <r>
      <rPr>
        <sz val="10"/>
        <rFont val="宋体"/>
        <family val="3"/>
        <charset val="134"/>
      </rPr>
      <t>可以按照专业，对设计输入结果性文件进行归档，包括</t>
    </r>
    <r>
      <rPr>
        <sz val="10"/>
        <rFont val="宋体"/>
        <family val="3"/>
        <charset val="134"/>
      </rPr>
      <t>：可行性研究设计输入要求文件、初步设计输入要求文件以及施工图设计输入要求文件。</t>
    </r>
  </si>
  <si>
    <t>正在进行需求确认</t>
  </si>
  <si>
    <t>未开始</t>
  </si>
  <si>
    <t>设计规则库</t>
  </si>
  <si>
    <t>新增功能，对新的设计规则进行上传、归档</t>
  </si>
  <si>
    <t>规则已梳理完成，确认中</t>
  </si>
  <si>
    <t>未开始，需要尽快确认需求</t>
  </si>
  <si>
    <t>作废功能，对已有且执行的设计规则进行作废处理</t>
  </si>
  <si>
    <t>升版功能，对已有且执行的设计规则进行升版</t>
  </si>
  <si>
    <t>审批功能，所有操作都需要经过审批流程后确认执行
1.新增-&gt;审批后-&gt;执行；
2.执行-&gt;作废审批后-&gt;作废；
3.新增-&gt;升版审批后-&gt;替换，按新版本执行；</t>
  </si>
  <si>
    <t>校审规则库</t>
  </si>
  <si>
    <t>新增功能，对新的校审规则进行上传、归档</t>
  </si>
  <si>
    <t>作废功能，对已有且执行的校审规则进行作废处理</t>
  </si>
  <si>
    <t>升版功能，对已有且执行的校审规则进行升版</t>
  </si>
  <si>
    <t>权限分配</t>
  </si>
  <si>
    <t>新增权限分配，能够对SITE-ZONE进行划分和人员分配</t>
  </si>
  <si>
    <t>已完成</t>
  </si>
  <si>
    <t>功能界面已开发完成，正在处理与E3D的交互；需四川院对e3d的UDA进行数据提供；</t>
  </si>
  <si>
    <r>
      <rPr>
        <sz val="10"/>
        <rFont val="宋体"/>
        <family val="3"/>
        <charset val="134"/>
      </rPr>
      <t>联动E3D</t>
    </r>
    <r>
      <rPr>
        <sz val="10"/>
        <rFont val="宋体"/>
        <family val="3"/>
        <charset val="134"/>
      </rPr>
      <t>命令开发</t>
    </r>
    <r>
      <rPr>
        <sz val="10"/>
        <rFont val="宋体"/>
        <family val="3"/>
        <charset val="134"/>
      </rPr>
      <t>，</t>
    </r>
    <r>
      <rPr>
        <sz val="10"/>
        <rFont val="宋体"/>
        <family val="3"/>
        <charset val="134"/>
      </rPr>
      <t>对E3D中的</t>
    </r>
    <r>
      <rPr>
        <sz val="10"/>
        <rFont val="宋体"/>
        <family val="3"/>
        <charset val="134"/>
      </rPr>
      <t>SITE-ZONE</t>
    </r>
    <r>
      <rPr>
        <sz val="10"/>
        <rFont val="宋体"/>
        <family val="3"/>
        <charset val="134"/>
      </rPr>
      <t>进行同步操作</t>
    </r>
  </si>
  <si>
    <t>权限变更</t>
  </si>
  <si>
    <t>新增权限变更，能够对已有SITE进行选择，并分配新的人员，实现A-&gt;B的权限替换</t>
  </si>
  <si>
    <t>功能界面已开发完成，正在处理与E3D的交互；需四川院对e3d的UDA进行数据提供；三维模型接口尚未提供</t>
  </si>
  <si>
    <t>联动E3D命令开发，对E3D同步进行权限变更调整，E3D中也由A权限变更为B</t>
  </si>
  <si>
    <r>
      <rPr>
        <sz val="10"/>
        <rFont val="宋体"/>
        <family val="3"/>
        <charset val="134"/>
      </rPr>
      <t>三维模型权限变更接口调用，联动三维模型同步进行权限变更替换A</t>
    </r>
    <r>
      <rPr>
        <sz val="10"/>
        <rFont val="宋体"/>
        <family val="3"/>
        <charset val="134"/>
      </rPr>
      <t>-&gt;B</t>
    </r>
  </si>
  <si>
    <t>文剑、肖睿、胡浩川、蒋锐、董鹏程</t>
  </si>
  <si>
    <t>董鹏程模型数据获取接口需要在最晚4月18前提供，否则无法完成。</t>
  </si>
  <si>
    <t>模型升版</t>
  </si>
  <si>
    <t>对功能界面进行重构，满足目前模型升版的需求，能够新增模型升版</t>
  </si>
  <si>
    <t>界面开发完成70%，后续需要确认模型升版颗粒度问题，并且需要对获取模型升版结构接口进行确认；需四川院对e3d的UDA进行数据提供；三维模型接口尚未提供。</t>
  </si>
  <si>
    <t>三维模型接口调用，获取三维模型模型结构数据，进行升版范围选择</t>
  </si>
  <si>
    <t>董鹏程模型数据获取接口需要在4月21前提供获取模型树形结构数据，包括：节点名称、类型（SITE\ZONE\PIPE\BRANCH等），否则无法完成。</t>
  </si>
  <si>
    <r>
      <rPr>
        <sz val="10"/>
        <rFont val="宋体"/>
        <family val="3"/>
        <charset val="134"/>
      </rPr>
      <t>联动E3D命令，</t>
    </r>
    <r>
      <rPr>
        <sz val="10"/>
        <rFont val="宋体"/>
        <family val="3"/>
        <charset val="134"/>
      </rPr>
      <t>用于</t>
    </r>
    <r>
      <rPr>
        <sz val="10"/>
        <rFont val="宋体"/>
        <family val="3"/>
        <charset val="134"/>
      </rPr>
      <t>E3D中</t>
    </r>
    <r>
      <rPr>
        <sz val="10"/>
        <rFont val="宋体"/>
        <family val="3"/>
        <charset val="134"/>
      </rPr>
      <t>模型的解锁功能</t>
    </r>
  </si>
  <si>
    <t>三维模型解锁接口的调用，同步联动三维模型解锁</t>
  </si>
  <si>
    <t>项目创建</t>
  </si>
  <si>
    <t>能够新增项目创建，功能界面的开发</t>
  </si>
  <si>
    <t>肖睿、胡浩川、蒋锐、董鹏程</t>
  </si>
  <si>
    <t>功能界面开发完成90%，需要针对DB复制进行功能界面调整，后续与E3D交互进行调整；需四川院对e3d的UDA进行数据提供；三维模型接口尚未提供</t>
  </si>
  <si>
    <t>能够导入人员SITE分配清单</t>
  </si>
  <si>
    <t>能够导入模型ACR、SCROP、ROLE分配清单</t>
  </si>
  <si>
    <t>三维模型提供接口获取项目列表、DB列表，用于DB的引用、复制的数据源</t>
  </si>
  <si>
    <r>
      <rPr>
        <b/>
        <sz val="10"/>
        <color rgb="FFFF0000"/>
        <rFont val="微软雅黑"/>
        <family val="2"/>
        <charset val="134"/>
      </rPr>
      <t>董鹏程模型数据项目、DB获取接口需要在最晚4月</t>
    </r>
    <r>
      <rPr>
        <b/>
        <sz val="10"/>
        <color rgb="FFFF0000"/>
        <rFont val="微软雅黑"/>
        <family val="2"/>
        <charset val="134"/>
      </rPr>
      <t>20</t>
    </r>
    <r>
      <rPr>
        <b/>
        <sz val="10"/>
        <color rgb="FFFF0000"/>
        <rFont val="微软雅黑"/>
        <family val="2"/>
        <charset val="134"/>
      </rPr>
      <t>前提供，否则无法完成。</t>
    </r>
  </si>
  <si>
    <t>联动E3D，进行项目DB的复制</t>
  </si>
  <si>
    <t>联动E3D，进行项目DB的引用</t>
  </si>
  <si>
    <t>三维编校审</t>
  </si>
  <si>
    <t>平台提供编校审审批单生成接口，三维模型调用传递模型数据包等生成审批单</t>
  </si>
  <si>
    <t>目前功能界面已经开发完成。针对与E3D交互进行调整；三维模型接口尚未提供；需四川院对e3d的UDA进行数据提供；</t>
  </si>
  <si>
    <t>平台提供模型审批意见存储接口，三维模型传递审批意见（云线、圈图）数据包，平台进行存储展示</t>
  </si>
  <si>
    <t>三维模型需要提供模型界面跳转查看接口，传递模型数据包以及过程意见数据包，进行模型查看</t>
  </si>
  <si>
    <t>联动E3D，根据审批模型数据包结构，进行解析，进行E3D模型锁定功能开发</t>
  </si>
  <si>
    <t>三维模型锁定接口的调用，同步联动三维模型锁定</t>
  </si>
  <si>
    <t>联动E3D，根据审批模型数据包结构，进行解析，进行E3D模型解锁功能开发</t>
  </si>
  <si>
    <t>进度计划</t>
  </si>
  <si>
    <t>三级进度计划Excel结果文件的存档功能，用于新增归档三级进度计划文件，用于后续四级计划编制需要</t>
  </si>
  <si>
    <t>文剑、肖睿、胡浩川、蒋锐、王元</t>
  </si>
  <si>
    <t>功能需求及界面规划</t>
  </si>
  <si>
    <t>三级进度计划文件读取接口提供，用于进度计划获取三级基础数据，进行四级计划编制</t>
  </si>
  <si>
    <t>王元进度计划功能提供，需要在4月24号前提供，否则无法完成。</t>
  </si>
  <si>
    <t>平台提供数据存储接口，用于四级计划编制完成后，四级计划文件归档功能</t>
  </si>
  <si>
    <t>未开始，需要王元提供进度计划功能，确认集成方案。</t>
  </si>
  <si>
    <t>平台提供数据存储接口，用于存档图纸目录数据</t>
  </si>
  <si>
    <t>平台提供数据存储接口，用于存档出图数据</t>
  </si>
  <si>
    <t>平台提供数据存储接口，用于存档出图图纸文件</t>
  </si>
  <si>
    <t>图纸存储方案规划中</t>
  </si>
  <si>
    <t>设计阶段变更（新增需求，用于设阶段变化后，人员的批量调整）</t>
  </si>
  <si>
    <t>功能界面开发，能够新增设计阶段变更单</t>
  </si>
  <si>
    <t>未开始，三维模型接口尚未提供；需四川院对e3d的UDA进行数据提供；</t>
  </si>
  <si>
    <t>能够批量选择项目SITE进行人员的重新分配</t>
  </si>
  <si>
    <t>联动E3D，根据重新分配的SITE，进行E3D模型解锁功能开发</t>
  </si>
  <si>
    <t>联动E3D，根据重新分配的SITE人员，进行E3D模型权限变更功能开发</t>
  </si>
  <si>
    <t>三维模型权限变更接口的调用，同步联动三维模型权限变更</t>
  </si>
  <si>
    <t>模型数据对接</t>
  </si>
  <si>
    <t>模型ip动态获取，用于获取模型所在服务器地址，用于跳转查看模型</t>
  </si>
  <si>
    <t>董鹏程最晚4月30提供，否则无法完成数据对接工作。</t>
  </si>
  <si>
    <t>三维模型尚未提供接口，目前仅做测试模型跳转</t>
  </si>
  <si>
    <t>模型中心接口跳转。用于传递当前所需跳转查看的模型信息、人员信息，跳转并打开模型查看</t>
  </si>
  <si>
    <t>三维编校审模型接口跳转，用于传递编校审模型数据打开并跳转相应审核模型进行查看、审批</t>
  </si>
  <si>
    <t>董鹏程最晚4月18提供，否则无法完成数据对接工作。</t>
  </si>
  <si>
    <t>三维模型项目、DB数据获取接口，用于DB复制、引用选择模型DB等。</t>
  </si>
  <si>
    <t>三维模型传递数据进行模型锁定接口，用于联动锁定三维模型</t>
  </si>
  <si>
    <t>三维模型传递数据进行模型解锁接口，用于联动解锁三维模型</t>
  </si>
  <si>
    <t>三维模型传递数据进行模型权限变更接口，用于联动三维模型权限变更</t>
  </si>
  <si>
    <t>孔洞埋件提资接口跳转，用于传递孔洞埋件模型数据,打开并跳转模型界面</t>
  </si>
  <si>
    <t>最晚4月24提供，否则无法完成数据对接工作。</t>
  </si>
  <si>
    <t>CMIS集成</t>
  </si>
  <si>
    <t>基础数据（下拉框等主数据数据源:机组、系统、设计阶段、部门代码）；</t>
  </si>
  <si>
    <t>文剑、肖睿、胡浩川、蒋锐、CIMS</t>
  </si>
  <si>
    <t>CIMS最晚4月31号前提供，否则将无法完成</t>
  </si>
  <si>
    <t>未开始，尚未提供接口或者数据</t>
  </si>
  <si>
    <t>人资数据；</t>
  </si>
  <si>
    <t>单点登录</t>
  </si>
  <si>
    <t>未开始，尚未提供接口</t>
  </si>
  <si>
    <t>内部接口信息单数据获取等数据同步接口</t>
  </si>
  <si>
    <t>CIMS最晚4月28号前提供，否则将无法完成</t>
  </si>
  <si>
    <t>外部接口信息单单据数据获取等数据同步接口</t>
  </si>
  <si>
    <t>CR收文数据获取等数据同步接口</t>
  </si>
  <si>
    <t>CR答复单数据获取等数据同步接口</t>
  </si>
  <si>
    <t>FCR收文数据获取等数据同步接口</t>
  </si>
  <si>
    <t>FCR答复单数据获取等数据同步接口</t>
  </si>
  <si>
    <t>TA收文数据获取等数据同步接口</t>
  </si>
  <si>
    <t>TA答复单数据获取等数据同步接口</t>
  </si>
  <si>
    <t>DEN发文数据获取等数据同步接口</t>
  </si>
  <si>
    <t>备忘录数据获取等数据同步接口</t>
  </si>
  <si>
    <t>内部会议纪要数据获取等数据同步接口</t>
  </si>
  <si>
    <t>图文传真数据获取等数据同步接口</t>
  </si>
  <si>
    <t>跨平台流程的集成问题，比如跨平台会签问题</t>
  </si>
  <si>
    <t>集成方案未定</t>
  </si>
  <si>
    <t>待定</t>
  </si>
  <si>
    <t>未开始，集成方案未定</t>
  </si>
  <si>
    <t>数据中心</t>
  </si>
  <si>
    <t>统计界面框架开发</t>
  </si>
  <si>
    <t>界面基本确定，等待功能完成后，进行数据统计的确认、开发</t>
  </si>
  <si>
    <t>本平台内统计图纸数量数据功能开发以及嵌入</t>
  </si>
  <si>
    <t>本平台内统计模型提资数据功能开发以及嵌入</t>
  </si>
  <si>
    <t>本平台内统计设计校审数据功能开发以及嵌入</t>
  </si>
  <si>
    <t>本平台内统计卷册完成情况数据功能开发以及嵌入</t>
  </si>
  <si>
    <t>本平台内统计设计进度数据功能开发以及嵌入</t>
  </si>
  <si>
    <t>本平台内统计专业设计图纸工作完成率数据功能开发以及嵌入</t>
  </si>
  <si>
    <t>本平台内大宗材料表数据功能开发以及嵌入</t>
  </si>
  <si>
    <t>本平台内需要审核的业务数据审核情况功能开发以及嵌入</t>
  </si>
  <si>
    <t>CMIS设计变更数据统计（FCR、CR、TA、DEN）</t>
  </si>
  <si>
    <t>需要CIMS数据同步接口完成后才能数据源进行数据统计</t>
  </si>
  <si>
    <t>CIMS图文传真数据统计</t>
  </si>
  <si>
    <t>CIMS会议纪要数据统计</t>
  </si>
  <si>
    <t>CIMS备忘录数据统计</t>
  </si>
  <si>
    <t>审批流程配置、开发</t>
  </si>
  <si>
    <t>项目团队组建审批流程</t>
  </si>
  <si>
    <t>需要在2023/5/12进行流程梳理和提供</t>
  </si>
  <si>
    <t>未开始，为后续正式上线进行流程的审批配置</t>
  </si>
  <si>
    <t>权限变更审批流程</t>
  </si>
  <si>
    <t>权限分配审批流程</t>
  </si>
  <si>
    <t>设计阶段变更审批流程</t>
  </si>
  <si>
    <t>模型升版审批流程</t>
  </si>
  <si>
    <t>三维编校审审批流程</t>
  </si>
  <si>
    <t>孔洞埋件提资审批流程</t>
  </si>
  <si>
    <t>模型提资审批流程（除埋件空洞外，比如：电缆长度、阀门位置信息）</t>
  </si>
  <si>
    <t>系统部署</t>
  </si>
  <si>
    <t>系统服务器到位后，进行正式部署生产环境系统。包括：用户权限初始化，项目初始化等工作。</t>
  </si>
  <si>
    <t>未开始，系统正式环境的部署功能。</t>
  </si>
  <si>
    <t>插件上平台-孔洞模块</t>
  </si>
  <si>
    <t>功能集成开发</t>
  </si>
  <si>
    <t>插件与平台间数据交互接口及配置文件表单正在梳理中</t>
  </si>
  <si>
    <t>存储数据服务接口</t>
  </si>
  <si>
    <t>数据界面展示功能开发</t>
  </si>
  <si>
    <t>对外数据获取接口开发（可查询），提供外部使用；</t>
  </si>
  <si>
    <t>数据推送接口调用开发，推送给数据中台</t>
  </si>
  <si>
    <t>插件上平台-埋件模块</t>
  </si>
  <si>
    <t>插件上平台-力学平台数据接口（PCF导出）</t>
  </si>
  <si>
    <t>插件上平台-Flowmaster数据接口</t>
  </si>
  <si>
    <t>插件上平台-CII数据转换接口</t>
  </si>
  <si>
    <t>插件上平台-模型细化模块</t>
  </si>
  <si>
    <t>插件上平台-模型规范模块</t>
  </si>
  <si>
    <t>插件上平台-模型质量模块</t>
  </si>
  <si>
    <t>插件上平台-多专业平面出图</t>
  </si>
  <si>
    <t>插件上平台-工艺专业支吊架出图</t>
  </si>
  <si>
    <t>插件上平台-贯穿件房间提取</t>
  </si>
  <si>
    <t>插件上平台-模糊查询模块</t>
  </si>
  <si>
    <t>插件上平台-封堵材料统计</t>
  </si>
  <si>
    <t>插件上平台-碰撞干涉检查</t>
  </si>
  <si>
    <t>插件上平台-SSC专业属性配置</t>
  </si>
  <si>
    <t>插件上平台-二三维数据校验</t>
  </si>
  <si>
    <t>插件上平台-力学平台数据接口（计算荷载导入）</t>
  </si>
  <si>
    <t>调用力学平台接口获取数据，接口开发；</t>
  </si>
  <si>
    <t>解析数据进行存储，功能开发；</t>
  </si>
  <si>
    <t>对外提供数据读取接口，接口开发；</t>
  </si>
  <si>
    <t>数据升版管理；</t>
  </si>
  <si>
    <t>插件上平台-房间水淹计算</t>
  </si>
  <si>
    <t>能够新增录入水淹计算数据</t>
  </si>
  <si>
    <t>调用接口，整合提交计算数据；</t>
  </si>
  <si>
    <t>调用接口后，返回结果数据，进行对应存储；</t>
  </si>
  <si>
    <t>插件上平台-房间散热量管理</t>
  </si>
  <si>
    <t>从三维模型提供的房间信息接口获取数据，接口开发；</t>
  </si>
  <si>
    <t>各专业填报散热量数据功能界面功能开发，提交数据；</t>
  </si>
  <si>
    <t>专业负责人汇总本专业数据功能界面开发，提交数据</t>
  </si>
  <si>
    <t>通风专业汇总数据审核功能，功能开发</t>
  </si>
  <si>
    <t>提交、汇总等版本管理功能，功能开发</t>
  </si>
  <si>
    <t>对外提供数据获取接口，接口开发</t>
  </si>
  <si>
    <t>调用接口传递散热量数据给数据中台</t>
  </si>
  <si>
    <t>接口返回数据，调用三维模型数据接口提交给三维模型进行数据处理</t>
  </si>
  <si>
    <t>插件上平台-ISO出图模块</t>
  </si>
  <si>
    <t>数据存储服务接口开发</t>
  </si>
  <si>
    <t>对外数据接口，提供外部使用</t>
  </si>
  <si>
    <t>图纸附件存储接口开发</t>
  </si>
  <si>
    <t>插件上平台-设备运输路径验证</t>
  </si>
  <si>
    <t>调用接口，推送数据给其它平台进行计算</t>
  </si>
  <si>
    <t>开发接收数据接口（含附件），返回接口存储</t>
  </si>
  <si>
    <t>平台数据解析功能部分</t>
  </si>
  <si>
    <t>多专业设备数据导入接口插件</t>
  </si>
  <si>
    <t>step模型的轻量化无损导入</t>
  </si>
  <si>
    <t>导入界面设计</t>
  </si>
  <si>
    <t>文剑、杨常坤、董鹏程</t>
  </si>
  <si>
    <t>已确定</t>
  </si>
  <si>
    <t>董鹏程</t>
  </si>
  <si>
    <t>界面流程设计4月底完成</t>
  </si>
  <si>
    <t>文剑、黄昱嘉</t>
  </si>
  <si>
    <t>选择导入本地step文件</t>
  </si>
  <si>
    <t>在导入界面预览生成结果</t>
  </si>
  <si>
    <t>在导入界面指定导入层级位置</t>
  </si>
  <si>
    <t>该功能需要等写入完善后进行</t>
  </si>
  <si>
    <t>通过写入功能写回E3D项目（具体方法参考写入功能）</t>
  </si>
  <si>
    <t>BOX基本体导入</t>
  </si>
  <si>
    <t>已经在三维模型中心实现step模型导入，但没有写入功能还无法写回到E3D</t>
  </si>
  <si>
    <t>CYLI基本体导入</t>
  </si>
  <si>
    <t>CONE基本体导入</t>
  </si>
  <si>
    <t>SNOU基本体导入</t>
  </si>
  <si>
    <t>PYRA基本体导入</t>
  </si>
  <si>
    <t>DISH基本体导入</t>
  </si>
  <si>
    <t>EXTR基本体导入</t>
  </si>
  <si>
    <t>CTOR基本体导入</t>
  </si>
  <si>
    <t>REVO基本体导入</t>
  </si>
  <si>
    <t>NOZZ管口判定，需要二院提供具体判定规则，如何通过几何形状来判定NOZZ是哪个等级库。比如管口直径和管口长度具体值来对应到某一个等级的NOZZ</t>
  </si>
  <si>
    <t>在明确规则后一个月左右完成研发</t>
  </si>
  <si>
    <t>管口判定比较复杂，需要提供一套具体的规则</t>
  </si>
  <si>
    <t>step模型的轻量化无损导出</t>
  </si>
  <si>
    <t>增加模型树右键菜单，加入Step模型导出</t>
  </si>
  <si>
    <t>该功能已经完成研发</t>
  </si>
  <si>
    <t>增加文件保存位置界面</t>
  </si>
  <si>
    <t>转换模型中心三维模型到Step模型</t>
  </si>
  <si>
    <t>虚拟孔洞埋件</t>
  </si>
  <si>
    <t>界面数据设计</t>
  </si>
  <si>
    <t>设计人选择虚拟物项创建提资单界面设计</t>
  </si>
  <si>
    <t>文剑、肖睿、王元、肖亚洲、姚利国、袁文、周立维、杨常坤、董鹏程</t>
  </si>
  <si>
    <t>界面基本已经完成，后面根据流程会有局部修改</t>
  </si>
  <si>
    <t>校审人收到提资单意见批注界面设计</t>
  </si>
  <si>
    <t>设计人收到意见进行意见回复界面设计</t>
  </si>
  <si>
    <t>校审人收到设计人回复意见进行意见确认界面设计</t>
  </si>
  <si>
    <t>虚拟孔洞埋件数据格式设计</t>
  </si>
  <si>
    <t>设计人创建虚拟物项提资单</t>
  </si>
  <si>
    <t>在平台跳转模型中心的时刻，模型中心发出请求获取平台提供的当前登录人信息</t>
  </si>
  <si>
    <t>肖睿、黄昱嘉、岳沛枭</t>
  </si>
  <si>
    <t>解析插件在E3D中创建的数据表格</t>
  </si>
  <si>
    <t>关联孔洞埋件到具体WALL或者FLOOR上，用户选择一个WALL或者FLOOR都可以拿到与之关联的物项</t>
  </si>
  <si>
    <t>实现生成孔洞算法</t>
  </si>
  <si>
    <t>实现生成埋件算法</t>
  </si>
  <si>
    <t>支持在三维视图选择虚拟孔洞埋件</t>
  </si>
  <si>
    <t>正在寻找合理的实现方案</t>
  </si>
  <si>
    <t>用户选择到虚拟孔洞埋件，对应界面跳转到该条物项数据</t>
  </si>
  <si>
    <t>请求平台接口，获取提资接口</t>
  </si>
  <si>
    <t>等CIMS发布数据</t>
  </si>
  <si>
    <t>该数据来自CIMS平台，需要CIMS平台先提供数据，平台请求数据，模型中心请求平台数据</t>
  </si>
  <si>
    <t>请求平台接口，获取人员资质</t>
  </si>
  <si>
    <t>平台已提供接口，4月底之前完成发送请求，获取数据</t>
  </si>
  <si>
    <t>设计人选择提资物项，提资接口，审核人员，模型中心生成json数据传给平台</t>
  </si>
  <si>
    <t>校审人审核虚拟物项</t>
  </si>
  <si>
    <t>提供接口给平台，获取平台传过来的校审表单</t>
  </si>
  <si>
    <t>校审人进入模型中心，判断提资单虚拟物项是否通过，不通过的给出意见</t>
  </si>
  <si>
    <t>该功能正在测试接口，组织数据结构</t>
  </si>
  <si>
    <t>收集数据打包传给平台</t>
  </si>
  <si>
    <t>设计人回复校审人意见</t>
  </si>
  <si>
    <t>同意意见，设计人在E3D插件修改虚拟物项，模型中心更新最新数据</t>
  </si>
  <si>
    <t>同步最新MySql表格正在寻找方案</t>
  </si>
  <si>
    <t>不同意意见，回复不同意的文字理由</t>
  </si>
  <si>
    <t>收集数据打包传回平台</t>
  </si>
  <si>
    <t>校审人确认意见</t>
  </si>
  <si>
    <t>同意设计人回复，选择确认</t>
  </si>
  <si>
    <t>不同意设计人回复，输入驳回理由</t>
  </si>
  <si>
    <t>外部流程</t>
  </si>
  <si>
    <t>完成内部校审之后，整理数据格式做成数据中台要求的格式，传给平台通过数据中台转给建筑结构平台</t>
  </si>
  <si>
    <t>组织数据格式已经实现，已经可以传给平台，但是CIMS是否通过未测试</t>
  </si>
  <si>
    <t>土建平台驳回的虚拟孔洞埋件展示</t>
  </si>
  <si>
    <t>具体流程情况待梳理</t>
  </si>
  <si>
    <t>未知驳回数据格式</t>
  </si>
  <si>
    <t>待明确驳回数据格式进行开发</t>
  </si>
  <si>
    <t>通用</t>
  </si>
  <si>
    <t>判断孔洞埋件是否冲突，有冲突的报错</t>
  </si>
  <si>
    <t>判断几何体是否相撞，正在测试找一个成熟的现有方案实现</t>
  </si>
  <si>
    <t>选择虚拟物项查看周边指定范围内模型</t>
  </si>
  <si>
    <t>正在进行几何体包络盒计算</t>
  </si>
  <si>
    <t>文剑、黄昱嘉、岳沛枭</t>
  </si>
  <si>
    <t>界面设计</t>
  </si>
  <si>
    <t>设计人选择模型提交界面设计</t>
  </si>
  <si>
    <t>校审人收到模型数据包意见批注界面设计</t>
  </si>
  <si>
    <t>三维编校审数据格式设计</t>
  </si>
  <si>
    <t>设计人</t>
  </si>
  <si>
    <t>选择好模型后点击提交，生成指定格式数据</t>
  </si>
  <si>
    <t>将指定格式数据打包传给平台</t>
  </si>
  <si>
    <t>用户选择一根管道，计算出该管道穿过的房间号</t>
  </si>
  <si>
    <t>已经算出房间号，房间内的模型按照专业进行分类，可以指定显示某专业模型</t>
  </si>
  <si>
    <t>支持力学管道判断，到ATTA点分割</t>
  </si>
  <si>
    <t>判断力学管道部分细节问题待讨论</t>
  </si>
  <si>
    <t>设计人提交模型之后锁定，不允许用户进行修改</t>
  </si>
  <si>
    <t>鼠标框选模型，支持Ctrl增加选项，Shift删除选项，操作类似Windows</t>
  </si>
  <si>
    <t>在指定列表中的模型进行高亮</t>
  </si>
  <si>
    <t>选择一个模型，显示指定距离内的所有模型，距离外的模型隐藏，如果是管道也要切断</t>
  </si>
  <si>
    <t>校审人</t>
  </si>
  <si>
    <t>用户在三维界面里通过鼠标绘制云线，云线始终朝向屏幕，不因视角转动而改变</t>
  </si>
  <si>
    <t>用户先选择元素然后点击绘制云线</t>
  </si>
  <si>
    <t>对三维界面进行截屏，生成jpg图片转成base64编码格式</t>
  </si>
  <si>
    <t>校核人在三维界面工具条里点击按钮输入意见</t>
  </si>
  <si>
    <t>校核人可以手动选择该问题是什么类型的问题，一般问题还是严重问题</t>
  </si>
  <si>
    <t>校核人完成模型校审，点击提交生成指定格式数据</t>
  </si>
  <si>
    <t>正在组织数据格式</t>
  </si>
  <si>
    <t>将校审数据传到平台</t>
  </si>
  <si>
    <t>用户在模型中心选择模型，E3D可以把该元素设置为CE同时LimitCE</t>
  </si>
  <si>
    <t>能够在三维界面捕获元素关键点，关键点来自于元件库的PointSet</t>
  </si>
  <si>
    <t>用户选择两个关键点可以进行距离测量</t>
  </si>
  <si>
    <t>用户选择两个关键点可以进行标高测量</t>
  </si>
  <si>
    <t>用户选择三个关键点可以进行角度测量</t>
  </si>
  <si>
    <t>用户选择两个元素可以自动找出最近点测量</t>
  </si>
  <si>
    <t>自动生成管道与墙的最近点尺寸标注</t>
  </si>
  <si>
    <t>自动生成管道与管道的最近点尺寸标注</t>
  </si>
  <si>
    <t>与全自动出图配合，选择管道模型可以一键预览对应的管道图纸</t>
  </si>
  <si>
    <t>该功能需要和全自动出图插件配合，在全自动出图功能完善后请求特点接口返回图纸</t>
  </si>
  <si>
    <t>平台数据中心管理</t>
  </si>
  <si>
    <t>平台E3D数据同步接口研发（读取）</t>
  </si>
  <si>
    <t>解析E3D项目数据，将二进制数据转换成指定格式数据</t>
  </si>
  <si>
    <t>文剑、周启帆、董鹏程</t>
  </si>
  <si>
    <t>编写database实现一边解析一边写入数据库</t>
  </si>
  <si>
    <t>优化解析速度，从单线程改到多线程</t>
  </si>
  <si>
    <t>解析整个1516项目从两三个小时减少至半个小时左右</t>
  </si>
  <si>
    <t>提取元件库数据，通过公式和几何拓扑生成三维模型</t>
  </si>
  <si>
    <t>生成三维模型数据</t>
  </si>
  <si>
    <t>模型类型缺失</t>
  </si>
  <si>
    <t>需要二院提供1516项目的全部元素，一次性补全所有缺失项目</t>
  </si>
  <si>
    <t>平台E3D数据同步接口研发（写入）</t>
  </si>
  <si>
    <t>删除模型</t>
  </si>
  <si>
    <t>修改模型</t>
  </si>
  <si>
    <t>该功能测试强行写入DB出现项目崩溃，目前考虑从简方案</t>
  </si>
  <si>
    <t>增加模型</t>
  </si>
  <si>
    <t>在模型中心开放删除元素功能，在模型树中右键删除元素</t>
  </si>
  <si>
    <t>在模型中心开放修改元素功能，将属性栏属性改成输入框，同时支持部分命令修改属性</t>
  </si>
  <si>
    <t>在模型中心开放新增元素功能，在命令行输入</t>
  </si>
  <si>
    <t>开发E3D监听插件，负责接收模型中心命令转换成PML语言，在E3D中运行PML</t>
  </si>
  <si>
    <t>用户一旦在模型中心触发写入操作，自动发送命令到E3D插件进行写入</t>
  </si>
  <si>
    <t>正在寻找合理的实现方案，要求同时打开E3D和模型中心</t>
  </si>
  <si>
    <t>次选方案：直接写入项目DB</t>
  </si>
  <si>
    <t>该功能测试强行写入DB出现项目崩溃</t>
  </si>
  <si>
    <t>平台三维数据数据库设计</t>
  </si>
  <si>
    <t>明确需求：确定项目数据量大小，项目数据吞吐量，进行数据库选型</t>
  </si>
  <si>
    <t>文剑、肖睿、周启帆、董鹏程</t>
  </si>
  <si>
    <t>设计ER模型：分析实体、属性、关系的关系，画出实体关系图</t>
  </si>
  <si>
    <t>规范化设计：将实体关系图进行规范化，确保数据结构中没有重复或不必要的数据，并消除数据冗余</t>
  </si>
  <si>
    <t>明确数据字典：列出所有表和列，并对各列进行描述，包括数据类型、数据长度、可否为空等。</t>
  </si>
  <si>
    <t>设计物理模型：将逻辑模型转换为物理模型，选择表格和索引类型，设计冗余和复制方案。</t>
  </si>
  <si>
    <t>数据库测试：对数据库进行测试，包括输入数据、对数据进行查询、对数据进行更新等测试。</t>
  </si>
  <si>
    <t>数据库维护和优化：因应数据库需要进行更新和升级等维护工作，优化数据库性能，确保数据库操作效率和正常运行。</t>
  </si>
  <si>
    <t>搭建TiDB数据库：用作项目数据存储，按照项目进行分表，在下面再按照元素类型进行分表</t>
  </si>
  <si>
    <t>搭建图数据库：用于存储经常取用的数据，与TiDB配合使用起到了电脑中内存的作用，TiDB起到了硬盘的作用</t>
  </si>
  <si>
    <t>数据接口，三维数据接口封装</t>
  </si>
  <si>
    <t>模型树接口提供：用于平台搭建模型树</t>
  </si>
  <si>
    <t>三维编校审接口：用于接收平台表单数据</t>
  </si>
  <si>
    <t>虚拟孔洞埋件接口：用于接收平台表单数据</t>
  </si>
  <si>
    <t>模型IP地址：用于给平台指定模型所在IP</t>
  </si>
  <si>
    <t>模型DB列表：用于给平台传递项目DB数量和编号</t>
  </si>
  <si>
    <t>人员权限接口：用于获取平台的最新人员权限变更信息</t>
  </si>
  <si>
    <t>数据查询</t>
  </si>
  <si>
    <t>搜索界面设计</t>
  </si>
  <si>
    <t>增加搜索语法</t>
  </si>
  <si>
    <t>将语法转成SQL语言在数据库查询相关数据</t>
  </si>
  <si>
    <t>将数据展示在界面上</t>
  </si>
  <si>
    <t>支持导出XLSX/CSV</t>
  </si>
  <si>
    <t>专业表单</t>
  </si>
  <si>
    <t>可视化导图</t>
  </si>
  <si>
    <t>节点搭建：字符串节点</t>
  </si>
  <si>
    <t>节点搭建：获取属性节点</t>
  </si>
  <si>
    <t>节点搭建：属性过滤节点</t>
  </si>
  <si>
    <t>节点搭建：数据表单节点</t>
  </si>
  <si>
    <t>节点搭建：获取参考号节点</t>
  </si>
  <si>
    <t>节点搭建：获取子节点</t>
  </si>
  <si>
    <t>节点搭建：获取深度子节点</t>
  </si>
  <si>
    <t>节点搭建：计算表达式节点</t>
  </si>
  <si>
    <t>节点搭建：获取单个属性集合节点</t>
  </si>
  <si>
    <t>节点搭建：分割字符串节点</t>
  </si>
  <si>
    <t>节点搭建：字符串数组取值节点</t>
  </si>
  <si>
    <t>节点搭建：字符串数组索引节点</t>
  </si>
  <si>
    <t>节点搭建：拼接字符串节点</t>
  </si>
  <si>
    <t>节点搭建：合并字符串节点</t>
  </si>
  <si>
    <t>节点搭建：if else节点</t>
  </si>
  <si>
    <t>节点搭建：Map节点</t>
  </si>
  <si>
    <t>节点搭建：Filter Map节点</t>
  </si>
  <si>
    <t>节点搭建：获取处理后数据节点</t>
  </si>
  <si>
    <t>节点搭建：获取外链名称节点</t>
  </si>
  <si>
    <t>节点搭建：字段匹配节点</t>
  </si>
  <si>
    <t>数据格式设计，生成SQL语法</t>
  </si>
  <si>
    <t>将数据写入数据库</t>
  </si>
  <si>
    <t>给排水专业</t>
  </si>
  <si>
    <t>大宗材料：Tube长度未统计</t>
  </si>
  <si>
    <t>文剑、许秦峰、杨常坤、董鹏程</t>
  </si>
  <si>
    <t>2023/4/5研发已完成</t>
  </si>
  <si>
    <t>工艺专业</t>
  </si>
  <si>
    <t>阀门清单：所在房间号待开发，是否阀门支架待开发</t>
  </si>
  <si>
    <t>设备清单：所在房间号待开发</t>
  </si>
  <si>
    <t>通信专业</t>
  </si>
  <si>
    <t>通信系统：所在房间号待开发</t>
  </si>
  <si>
    <t>火灾自动报警：专业提供的表单和通信系统表单一模一样</t>
  </si>
  <si>
    <t>仪控专业</t>
  </si>
  <si>
    <t>大宗材料</t>
  </si>
  <si>
    <t>仪表管道：所在房间号待开发</t>
  </si>
  <si>
    <t>设备清单：所在房间号待开发，设备相对楼板标高待开发</t>
  </si>
  <si>
    <t>设备专业</t>
  </si>
  <si>
    <t>大宗材料：所在房间号待开发</t>
  </si>
  <si>
    <t>通风专业</t>
  </si>
  <si>
    <t>风管管段清单</t>
  </si>
  <si>
    <t>暖通专业</t>
  </si>
  <si>
    <t>风管材料表</t>
  </si>
  <si>
    <t>已完成初版数据提取，等待通风专业提供更新的规则</t>
  </si>
  <si>
    <t>风管附件清单</t>
  </si>
  <si>
    <t>风管支架清单</t>
  </si>
  <si>
    <t>电气专业</t>
  </si>
  <si>
    <t>托盘及接地</t>
  </si>
  <si>
    <t>优化与改进</t>
  </si>
  <si>
    <t>表单一旦提取到错误的信息会出现卡住的情况不能跳过</t>
  </si>
  <si>
    <t>目前先实现功能，体验优化排在稍后位置</t>
  </si>
  <si>
    <t>配置好对应算法用户直接一键提取一层的或者一个SITE的数据</t>
  </si>
  <si>
    <t>可视化导图界面放大缩小</t>
  </si>
  <si>
    <t>表单节点无法在已存在的字段中插入，必须删除后面的来增加新的字段</t>
  </si>
  <si>
    <t>按住鼠标中键平移拖动时会拉动表单节点</t>
  </si>
  <si>
    <t>节点支持复制，减少重复节点搭建</t>
  </si>
  <si>
    <t>节点里文字信息较乱</t>
  </si>
  <si>
    <t>平台三维模型显示管理</t>
  </si>
  <si>
    <t>平台图形引擎研发</t>
  </si>
  <si>
    <t>确定需求：根据使用场景及客户需求，确定开发要求和目标，以引擎功能、性能、跨平台等方面为重点。</t>
  </si>
  <si>
    <t>目前图形引擎大部分功能已经完成，主要是后续的性能优化，现阶段经过测试，在M1Pro芯片上处理100万个几何体已经可以达到27帧</t>
  </si>
  <si>
    <t>技术策划：制订技术开发方案，研究三维图形处理相关标准、库，优化渲染流程，提高渲染效率，确保引擎开发高效、可靠。</t>
  </si>
  <si>
    <t>系统设计：制定引擎的基础系统架构、渲染架构和渲染管道。考虑到性能和效率，建立实时、高效的专业化渲染系统，提高渲染质量和渲染效率，优化应用程序的渲染逻辑。</t>
  </si>
  <si>
    <t>编码实现：根据设计规划，编写代码实现引擎基础框架、图形算法、纹理映射、材质处理、光照处理、粒子系统等核心功能，同时实现跨平台、纹理压缩等其他基础功能。</t>
  </si>
  <si>
    <t>调试优化：对开发过程中的可能出现的问题进行调试、优化和性能测试，逐步完善优化引擎，确保其能够有效地满足需求，具有良好的性能和交互性。</t>
  </si>
  <si>
    <t>集成测试：将独立开发实现的各个功能和系统集成测试，确保整个系统能够兼容、正确连接和高效运行，同时进行反复测试和改进，直到达到预期效果。</t>
  </si>
  <si>
    <t>集成性能测试待开展</t>
  </si>
  <si>
    <t>平台三维模型显示</t>
  </si>
  <si>
    <t>通过解析数据获取元件库模型计算公式</t>
  </si>
  <si>
    <t>通过公式计算元件形状</t>
  </si>
  <si>
    <t>通过解析数据获取设计模块数据，通过设计模块数据组合元件，形成三维模型</t>
  </si>
  <si>
    <t>生成元件库负实体</t>
  </si>
  <si>
    <t>生成设备负实体</t>
  </si>
  <si>
    <t>生成墙体负实体</t>
  </si>
  <si>
    <t>土建负实体判定较为复杂，正在寻找合适的方案实现</t>
  </si>
  <si>
    <t>生成楼板负实体</t>
  </si>
  <si>
    <t>平台三维模型显示优化</t>
  </si>
  <si>
    <t>增加正视图，侧视图，俯视图功能</t>
  </si>
  <si>
    <t>设计模型树图标</t>
  </si>
  <si>
    <t>该功能已经完成，主要是元素数量较多，正在陆续补充图标</t>
  </si>
  <si>
    <t>优化三维视点，拖入模型可以直接看到，不会乱跳视点</t>
  </si>
  <si>
    <t>平台三维模型显示问题</t>
  </si>
  <si>
    <t>TUBE管道生成形状有误</t>
  </si>
  <si>
    <t>该问题已解决</t>
  </si>
  <si>
    <t>阀门转手形状和E3D有区别</t>
  </si>
  <si>
    <t>土建楼板生成错误</t>
  </si>
  <si>
    <t>土建相邻楼层之间存在间隔</t>
  </si>
  <si>
    <t>土建圆顶生成与E3D不一致</t>
  </si>
  <si>
    <t>电气柜子不生成</t>
  </si>
  <si>
    <t xml:space="preserve">电缆托盘不显示 </t>
  </si>
  <si>
    <t>该问题待解决</t>
  </si>
  <si>
    <t>FTUB不显示</t>
  </si>
  <si>
    <t>设备不生成</t>
  </si>
  <si>
    <t>电气设备形状有误</t>
  </si>
  <si>
    <t>管道生成断断续续型钢不显示</t>
  </si>
  <si>
    <t>大量的型钢风管不显示</t>
  </si>
  <si>
    <t>大量土建模型不显示</t>
  </si>
  <si>
    <t>先显示参考号24383/80211，然后把视点定位到参考号24383/94692元素时，三维视图无法移动，卡死</t>
  </si>
  <si>
    <t>同样的模型，E3D拖进三维视图之后能够明显找到模型位置，Editor不知道视点跳到什么位置去了</t>
  </si>
  <si>
    <t>房间号计算</t>
  </si>
  <si>
    <t>通过平面计算房间号</t>
  </si>
  <si>
    <t>通过立面计算房间号</t>
  </si>
  <si>
    <t>把房间号写到元素的UDA属性scroomno中</t>
  </si>
  <si>
    <t>等写入完成即可实现</t>
  </si>
  <si>
    <t>版本管理</t>
  </si>
  <si>
    <t>界面</t>
  </si>
  <si>
    <t>版本管理界面设计</t>
  </si>
  <si>
    <t>文剑、肖睿、许秦峰、杨常坤、董鹏程</t>
  </si>
  <si>
    <t>正在设计</t>
  </si>
  <si>
    <t>数据回滚，查看界面设计</t>
  </si>
  <si>
    <t>功能点</t>
  </si>
  <si>
    <t>读取元素数据状态的UDA属性，一旦改变及时备份</t>
  </si>
  <si>
    <t>支持比较显示不同版本差异</t>
  </si>
  <si>
    <t>增量备份，用户每次修改E3D项目，在解析写入到数据库之前都备份一次</t>
  </si>
  <si>
    <t>状态管理</t>
  </si>
  <si>
    <t>数据状态界面设计</t>
  </si>
  <si>
    <t>功能</t>
  </si>
  <si>
    <t>在三维模型中心进行数据状态赋值，修改对应的UDA属性</t>
  </si>
  <si>
    <t>目前实现了赋值，但是写入还未完善</t>
  </si>
  <si>
    <t>在E3D中对模型数据状态赋值，写入到UDA属性</t>
  </si>
  <si>
    <t>涉及到插件功能</t>
  </si>
  <si>
    <t>配合平台进行模型数据权限管理，包括权限继承，权限修改，涉及到模型是否能够被当前使用人进行修改</t>
  </si>
  <si>
    <t>涉及到权限管理需要多方配合</t>
  </si>
  <si>
    <t>元素上锁禁止修改</t>
  </si>
  <si>
    <t>平台成品关联管理</t>
  </si>
  <si>
    <t>平台项目树SSC及PBS结构重构</t>
  </si>
  <si>
    <t>读取元素数据状态的scroomno属性，提取值一样的元素</t>
  </si>
  <si>
    <t>该功能已完成研发</t>
  </si>
  <si>
    <t>将值一样的元素放在指定树节点下面</t>
  </si>
  <si>
    <t>文剑、黄昱嘉、董鹏程</t>
  </si>
  <si>
    <t>生成模型树，设计界面</t>
  </si>
  <si>
    <t>分布式部署</t>
  </si>
  <si>
    <t>前期</t>
  </si>
  <si>
    <t>分布式方案设计</t>
  </si>
  <si>
    <t>分布式部署测试</t>
  </si>
  <si>
    <t>22端口未开放无法连接两地数据库</t>
  </si>
  <si>
    <t>待开会讨论</t>
  </si>
  <si>
    <t>没有开放端口无法实现数据库连接，需要和数据中心开会讨论</t>
  </si>
  <si>
    <t>后期</t>
  </si>
  <si>
    <t>压力测试</t>
  </si>
  <si>
    <t>工作待开展</t>
  </si>
  <si>
    <t>同步延迟测试</t>
  </si>
  <si>
    <t>备份测试</t>
  </si>
  <si>
    <t>漏洞测试</t>
  </si>
  <si>
    <t>三维提资</t>
  </si>
  <si>
    <t>电气平台数据推送服务</t>
  </si>
  <si>
    <t>用电位置资料</t>
  </si>
  <si>
    <t>文剑、黄昱嘉、许秦峰、董鹏程</t>
  </si>
  <si>
    <t>电气设备布置信息</t>
  </si>
  <si>
    <t>电缆长度</t>
  </si>
  <si>
    <t>等插件提供数据</t>
  </si>
  <si>
    <t>电缆桥架布置图</t>
  </si>
  <si>
    <t>建筑结构平台数据推送服务</t>
  </si>
  <si>
    <t>贯穿件提资</t>
  </si>
  <si>
    <t>门窗提资</t>
  </si>
  <si>
    <t>设备基础提资</t>
  </si>
  <si>
    <t>钢平台提资</t>
  </si>
  <si>
    <t>安装基准点布置图</t>
  </si>
  <si>
    <t>仪控平台数据推送服务</t>
  </si>
  <si>
    <t>仪表位置资料</t>
  </si>
  <si>
    <t>工艺平台数据推送服务</t>
  </si>
  <si>
    <t>流程图反馈</t>
  </si>
  <si>
    <t>阀门位置信息</t>
  </si>
  <si>
    <t>散热量信息</t>
  </si>
  <si>
    <t>管段</t>
  </si>
  <si>
    <t>轻量化平台服务调用，数据推送</t>
  </si>
  <si>
    <t>生成基础几何体RVM</t>
  </si>
  <si>
    <t>生成元件库RVM</t>
  </si>
  <si>
    <t>计算负实体RVM</t>
  </si>
  <si>
    <t>RVM数据格式生成存在问题，部分元素形状不正常</t>
  </si>
  <si>
    <t>有技术问题正在解决</t>
  </si>
  <si>
    <t>多专业图纸自动标注</t>
  </si>
  <si>
    <t>通用部分</t>
  </si>
  <si>
    <t>快速切图</t>
  </si>
  <si>
    <t>基于切图信息创建图纸</t>
  </si>
  <si>
    <t>文剑、何松</t>
  </si>
  <si>
    <t>完成</t>
  </si>
  <si>
    <t>王元</t>
  </si>
  <si>
    <t>研发完成</t>
  </si>
  <si>
    <t>成品输出</t>
  </si>
  <si>
    <r>
      <rPr>
        <sz val="10"/>
        <color theme="1"/>
        <rFont val="Microsoft YaHei"/>
        <family val="2"/>
        <charset val="134"/>
      </rPr>
      <t xml:space="preserve">出图的类型应包括CAD图纸和PDF图纸两种类型。
</t>
    </r>
    <r>
      <rPr>
        <sz val="10"/>
        <color rgb="FFFF0000"/>
        <rFont val="Microsoft YaHei"/>
        <family val="2"/>
        <charset val="134"/>
      </rPr>
      <t>难点：
1.输出dxf文件后，脱离AutoCAD进行图纸后处理，例如字体转换，线型转换，插入图框等</t>
    </r>
  </si>
  <si>
    <t>KeyPlan</t>
  </si>
  <si>
    <t>图纸范围在KeyPlan中显示</t>
  </si>
  <si>
    <t>开发方案已经确定</t>
  </si>
  <si>
    <t>接图号</t>
  </si>
  <si>
    <t>相邻图纸信息</t>
  </si>
  <si>
    <t>填充</t>
  </si>
  <si>
    <r>
      <rPr>
        <sz val="10"/>
        <color theme="1"/>
        <rFont val="Microsoft YaHei"/>
        <family val="2"/>
        <charset val="134"/>
      </rPr>
      <t xml:space="preserve">结构专业墙体和柱子
</t>
    </r>
    <r>
      <rPr>
        <sz val="10"/>
        <color rgb="FFFF0000"/>
        <rFont val="Microsoft YaHei"/>
        <family val="2"/>
        <charset val="134"/>
      </rPr>
      <t>难点：
1.梯形电缆桥架填充需要调整元件库，创建专门用于填充的桥架盖板。</t>
    </r>
  </si>
  <si>
    <t>轴网号标注</t>
  </si>
  <si>
    <t>轴网尺寸标注</t>
  </si>
  <si>
    <t>墙号</t>
  </si>
  <si>
    <r>
      <rPr>
        <sz val="10"/>
        <color theme="1"/>
        <rFont val="Microsoft YaHei"/>
        <family val="2"/>
        <charset val="134"/>
      </rPr>
      <t xml:space="preserve">墙号标注，墙号方向跟墙体一致。
</t>
    </r>
    <r>
      <rPr>
        <sz val="10"/>
        <color rgb="FFFF0000"/>
        <rFont val="Microsoft YaHei"/>
        <family val="2"/>
        <charset val="134"/>
      </rPr>
      <t>难点：
1.墙体由多个部分组合而成，异型墙体的方向需要特别的计算。</t>
    </r>
  </si>
  <si>
    <t>标注已经完成，方向调整未完成</t>
  </si>
  <si>
    <t>房间号</t>
  </si>
  <si>
    <t>房间号标注</t>
  </si>
  <si>
    <t>标注避让</t>
  </si>
  <si>
    <r>
      <rPr>
        <sz val="10"/>
        <rFont val="Microsoft YaHei"/>
        <family val="2"/>
        <charset val="134"/>
      </rPr>
      <t xml:space="preserve">避让重要设计模型，避免重叠、避免标注引线交叉等情况
</t>
    </r>
    <r>
      <rPr>
        <sz val="10"/>
        <color rgb="FFFF0000"/>
        <rFont val="Microsoft YaHei"/>
        <family val="2"/>
        <charset val="134"/>
      </rPr>
      <t>难点：
1.异型设计模型的避让空间计算。
2.标注引线交叉避让。</t>
    </r>
  </si>
  <si>
    <t>标注重叠已经完成，引线交叉避让未完成</t>
  </si>
  <si>
    <t>云线</t>
  </si>
  <si>
    <r>
      <rPr>
        <sz val="10"/>
        <rFont val="Microsoft YaHei"/>
        <family val="2"/>
        <charset val="134"/>
      </rPr>
      <t xml:space="preserve">模型变化位置绘制云线，包括模型，相关标注，相关的表格。
</t>
    </r>
    <r>
      <rPr>
        <sz val="10"/>
        <color rgb="FFFF0000"/>
        <rFont val="Microsoft YaHei"/>
        <family val="2"/>
        <charset val="134"/>
      </rPr>
      <t>难点：
1.模型的变化涉及多个方面，包括位置，形状，属性等，需要判断模型的变化是否与当前的标注有关。</t>
    </r>
  </si>
  <si>
    <t>索引表的索引号记录</t>
  </si>
  <si>
    <t xml:space="preserve">新增的索引项仅从最大索引号递增，删除的索引项的索引号不再使用。
</t>
  </si>
  <si>
    <t>角图章文字</t>
  </si>
  <si>
    <t>填写图纸信息，版本信息</t>
  </si>
  <si>
    <t>CAD图层，颜色，字体，字高</t>
  </si>
  <si>
    <t>输出符合要求的CAD图层，颜色，字体，字高</t>
  </si>
  <si>
    <t>非开发项，Draft配置内容</t>
  </si>
  <si>
    <t>工艺管道局部模型</t>
  </si>
  <si>
    <r>
      <rPr>
        <sz val="10"/>
        <color theme="1"/>
        <rFont val="Microsoft YaHei"/>
        <family val="2"/>
        <charset val="134"/>
      </rPr>
      <t xml:space="preserve">仪表管连接工艺管线局部绘制
</t>
    </r>
    <r>
      <rPr>
        <sz val="10"/>
        <color rgb="FFFF0000"/>
        <rFont val="Microsoft YaHei"/>
        <family val="2"/>
        <charset val="134"/>
      </rPr>
      <t>难点：
1.仪表与工艺的连接关系无法通过E3D的关联属性直接获取，需要硬代码获取。
2.绘制范围不容易通过定制实现，目前限定到前后的管子终止。</t>
    </r>
  </si>
  <si>
    <t>在线仪表名称标注</t>
  </si>
  <si>
    <r>
      <rPr>
        <sz val="10"/>
        <color theme="1"/>
        <rFont val="Microsoft YaHei"/>
        <family val="2"/>
        <charset val="134"/>
      </rPr>
      <t xml:space="preserve">仪表名称标注
</t>
    </r>
    <r>
      <rPr>
        <sz val="10"/>
        <color rgb="FFFF0000"/>
        <rFont val="Microsoft YaHei"/>
        <family val="2"/>
        <charset val="134"/>
      </rPr>
      <t>难点：
1.仪表与仪表架的连接关系无法通过E3D的关联属性直接获取，需要硬代码获取。</t>
    </r>
  </si>
  <si>
    <t>仪表管显示</t>
  </si>
  <si>
    <t>仪表管用单线显示，显示弯头走向；第二方案是忽略</t>
  </si>
  <si>
    <t>仪表架的安装位置</t>
  </si>
  <si>
    <t>仪表架的安装位置用符号替换</t>
  </si>
  <si>
    <t>仪表架信息标注</t>
  </si>
  <si>
    <r>
      <rPr>
        <sz val="10"/>
        <color theme="1"/>
        <rFont val="Microsoft YaHei"/>
        <family val="2"/>
        <charset val="134"/>
      </rPr>
      <t xml:space="preserve">标注仪表架号，关联的仪表位号，仪表架底坐标。
</t>
    </r>
    <r>
      <rPr>
        <sz val="10"/>
        <color rgb="FFFF0000"/>
        <rFont val="Microsoft YaHei"/>
        <family val="2"/>
        <charset val="134"/>
      </rPr>
      <t>难点：
1.仪表与仪表架的连接关系无法通过E3D的关联属性直接获取，需要硬代码获取。
2.标注内容从不同的模型获取，需要组合到仪表架的标注位置。</t>
    </r>
  </si>
  <si>
    <t>关联的仪表位号未完成</t>
  </si>
  <si>
    <t>仪表架尺寸角度标注</t>
  </si>
  <si>
    <r>
      <rPr>
        <sz val="10"/>
        <rFont val="Microsoft YaHei"/>
        <family val="2"/>
        <charset val="134"/>
      </rPr>
      <t xml:space="preserve">注相对于墙体的位置尺寸，R区的仪表架定位，需标注角度、底标高、距离附近圆弧墙的垂直距离
</t>
    </r>
    <r>
      <rPr>
        <sz val="10"/>
        <color rgb="FFFF0000"/>
        <rFont val="Microsoft YaHei"/>
        <family val="2"/>
        <charset val="134"/>
      </rPr>
      <t>难点：
1.最近距离标注
2.底标高无法从模型直接获取，需要硬代码实现。</t>
    </r>
  </si>
  <si>
    <t>开发方案已经确定，实现有难度</t>
  </si>
  <si>
    <t>一次阀门符号替换</t>
  </si>
  <si>
    <r>
      <rPr>
        <sz val="10"/>
        <color theme="1"/>
        <rFont val="Microsoft YaHei"/>
        <family val="2"/>
        <charset val="134"/>
      </rPr>
      <t xml:space="preserve">根据一次阀门实际布置情况显示对应的图例符号
</t>
    </r>
    <r>
      <rPr>
        <sz val="10"/>
        <color rgb="FFFF0000"/>
        <rFont val="Microsoft YaHei"/>
        <family val="2"/>
        <charset val="134"/>
      </rPr>
      <t>难点：
1.仪表与一次阀门的连接关系无法通过E3D的关联属性直接获取，需要硬代码获取。</t>
    </r>
  </si>
  <si>
    <t>一次阀门编号</t>
  </si>
  <si>
    <t>一次阀门名称标注</t>
  </si>
  <si>
    <t>设备布置图尺寸标注</t>
  </si>
  <si>
    <t>开发已完成，配置未完成</t>
  </si>
  <si>
    <t>设备布置图索引表</t>
  </si>
  <si>
    <t>从Excel文件获取当前图纸中的设备，将设备的指定信息写入到图表中</t>
  </si>
  <si>
    <t>仪表清单</t>
  </si>
  <si>
    <r>
      <rPr>
        <sz val="10"/>
        <rFont val="Microsoft YaHei"/>
        <family val="2"/>
        <charset val="134"/>
      </rPr>
      <t xml:space="preserve">以表格形式列出本张图纸上表示的仪表位号，仪表架，所在的房间号，工艺设备，工艺设备安装位置
</t>
    </r>
    <r>
      <rPr>
        <sz val="10"/>
        <color rgb="FFFF0000"/>
        <rFont val="Microsoft YaHei"/>
        <family val="2"/>
        <charset val="134"/>
      </rPr>
      <t xml:space="preserve">难点：
1.仪表与仪表架的连接关系无法通过E3D的关联属性直接获取，需要硬代码获取。
</t>
    </r>
  </si>
  <si>
    <t>桥架的branch头尾标注</t>
  </si>
  <si>
    <t>桥架的branch头尾都需要标注“+”符号</t>
  </si>
  <si>
    <t>电缆桥架填充</t>
  </si>
  <si>
    <t>B列桥架需要填充</t>
  </si>
  <si>
    <t>开发及配置已完成，需要元件库管理员在梯式桥架上增加用于填充的外形</t>
  </si>
  <si>
    <t>轴线号标注</t>
  </si>
  <si>
    <r>
      <rPr>
        <sz val="10"/>
        <rFont val="Microsoft YaHei"/>
        <family val="2"/>
        <charset val="134"/>
      </rPr>
      <t xml:space="preserve">每段桥架（PDMS中每个Branch）都需标注桥架的轴线信息，如果同一位置各个托盘的轴线号不一致，就进行多次标注；在桥架的标高发生变化时，再进行一次标注；在桥架的层数发生变化时，再进行一次标注；如果桥架标高和层数均未发生变化，则不进行多余的标注
</t>
    </r>
    <r>
      <rPr>
        <sz val="10"/>
        <color rgb="FFFF0000"/>
        <rFont val="Microsoft YaHei"/>
        <family val="2"/>
        <charset val="134"/>
      </rPr>
      <t>难点：
1.涉及到相邻模型的计算，判断规则比较复杂，需要开发单独的算法</t>
    </r>
  </si>
  <si>
    <t>变标高箭头符号</t>
  </si>
  <si>
    <r>
      <rPr>
        <sz val="10"/>
        <color theme="1"/>
        <rFont val="Microsoft YaHei"/>
        <family val="2"/>
        <charset val="134"/>
      </rPr>
      <t xml:space="preserve">电缆桥架变标高的位置由低到高标注箭头符号
</t>
    </r>
    <r>
      <rPr>
        <sz val="10"/>
        <color rgb="FFFF0000"/>
        <rFont val="Microsoft YaHei"/>
        <family val="2"/>
        <charset val="134"/>
      </rPr>
      <t>难点：
1.标高变化涉及到两个变标高管件，需要硬代码实现</t>
    </r>
  </si>
  <si>
    <t>电缆桥架信息表</t>
  </si>
  <si>
    <r>
      <rPr>
        <sz val="10"/>
        <rFont val="Microsoft YaHei"/>
        <family val="2"/>
        <charset val="134"/>
      </rPr>
      <t xml:space="preserve">列出每个轴线号中标高和桥架宽度
</t>
    </r>
    <r>
      <rPr>
        <sz val="10"/>
        <color rgb="FFFF0000"/>
        <rFont val="Microsoft YaHei"/>
        <family val="2"/>
        <charset val="134"/>
      </rPr>
      <t>难点：
1.同轴线号标注。</t>
    </r>
    <r>
      <rPr>
        <sz val="10"/>
        <rFont val="Microsoft YaHei"/>
        <family val="2"/>
        <charset val="134"/>
      </rPr>
      <t xml:space="preserve">
</t>
    </r>
  </si>
  <si>
    <t>支吊架布置图标注</t>
  </si>
  <si>
    <r>
      <rPr>
        <sz val="10"/>
        <color theme="1"/>
        <rFont val="Microsoft YaHei"/>
        <family val="2"/>
        <charset val="134"/>
      </rPr>
      <t xml:space="preserve">电缆主托盘支吊架布置图，主要是符号替换
</t>
    </r>
    <r>
      <rPr>
        <sz val="10"/>
        <color rgb="FFFF0000"/>
        <rFont val="Microsoft YaHei"/>
        <family val="2"/>
        <charset val="134"/>
      </rPr>
      <t>难点：
1.每个支吊架包含多个横担和立柱，分别需要符号替换
2.符号比例从模型提取</t>
    </r>
  </si>
  <si>
    <t>支吊架布置图信息表</t>
  </si>
  <si>
    <r>
      <rPr>
        <sz val="10"/>
        <color theme="1"/>
        <rFont val="微软雅黑"/>
        <family val="2"/>
        <charset val="134"/>
      </rPr>
      <t>序号</t>
    </r>
    <r>
      <rPr>
        <sz val="10"/>
        <rFont val="微软雅黑"/>
        <family val="2"/>
        <charset val="134"/>
      </rPr>
      <t>、支吊架名称、所属房间、安装标准号和托臂标准号</t>
    </r>
  </si>
  <si>
    <t>支吊架剖面图标注</t>
  </si>
  <si>
    <t>标注支吊架的序号（和平面图中的序号保持一致）；定位尺寸标注，包括支架之间的尺寸标注，以及支架距离楼板或者墙体或者孔洞</t>
  </si>
  <si>
    <t>电缆主托盘剖面图标注</t>
  </si>
  <si>
    <t>包括尺寸标注，标高标注</t>
  </si>
  <si>
    <t>电气设备布置图标注</t>
  </si>
  <si>
    <t>就地箱盒一览表（设备类型为，AR，CR，BC，BE等），包含设备编号，序列，安装位置以及所属系统等</t>
  </si>
  <si>
    <t>通风管道平剖面布置图</t>
  </si>
  <si>
    <t>介质流向</t>
  </si>
  <si>
    <r>
      <rPr>
        <sz val="10"/>
        <color theme="1"/>
        <rFont val="Microsoft YaHei"/>
        <family val="2"/>
        <charset val="134"/>
      </rPr>
      <t xml:space="preserve">介质流向符号标注
</t>
    </r>
    <r>
      <rPr>
        <sz val="10"/>
        <color rgb="FFFF0000"/>
        <rFont val="Microsoft YaHei"/>
        <family val="2"/>
        <charset val="134"/>
      </rPr>
      <t>难点：
1.每个Branch仅标注一次，在合适的直段上，需要硬代码实现。</t>
    </r>
  </si>
  <si>
    <t>零件号标注</t>
  </si>
  <si>
    <t>所有BRAN MEM 中：H-SECTCODE有值的对象，风口（MESH、GRIL）除外</t>
  </si>
  <si>
    <t>管道编号</t>
  </si>
  <si>
    <r>
      <rPr>
        <sz val="10"/>
        <rFont val="Microsoft YaHei"/>
        <family val="2"/>
        <charset val="134"/>
      </rPr>
      <t xml:space="preserve">零道编号，每个Branch标注一次，包括序号，压力等级，抗震等级，管道材质，管道类型
</t>
    </r>
    <r>
      <rPr>
        <sz val="10"/>
        <color rgb="FFFF0000"/>
        <rFont val="Microsoft YaHei"/>
        <family val="2"/>
        <charset val="134"/>
      </rPr>
      <t>难点：
1.每个Branch仅标注一次，在合适的直段上，需要硬代码实现。</t>
    </r>
  </si>
  <si>
    <t>阀门名称</t>
  </si>
  <si>
    <t>房间送风量</t>
  </si>
  <si>
    <r>
      <rPr>
        <sz val="10"/>
        <color theme="1"/>
        <rFont val="Microsoft YaHei"/>
        <family val="2"/>
        <charset val="134"/>
      </rPr>
      <t xml:space="preserve">房间送风量
</t>
    </r>
    <r>
      <rPr>
        <sz val="10"/>
        <color rgb="FFFF0000"/>
        <rFont val="Microsoft YaHei"/>
        <family val="2"/>
        <charset val="134"/>
      </rPr>
      <t>难点：
1.数据来源</t>
    </r>
  </si>
  <si>
    <t>房间回风量</t>
  </si>
  <si>
    <r>
      <rPr>
        <sz val="10"/>
        <color theme="1"/>
        <rFont val="Microsoft YaHei"/>
        <family val="2"/>
        <charset val="134"/>
      </rPr>
      <t xml:space="preserve">房间回风量
</t>
    </r>
    <r>
      <rPr>
        <sz val="10"/>
        <color rgb="FFFF0000"/>
        <rFont val="Microsoft YaHei"/>
        <family val="2"/>
        <charset val="134"/>
      </rPr>
      <t>难点：
1.数据来源</t>
    </r>
  </si>
  <si>
    <t>风口号</t>
  </si>
  <si>
    <t>TYPE为GRILLE填TRAG DESP[41]×DESP[42],MESH填MESH DESP[2]×DESP[3]</t>
  </si>
  <si>
    <t>大小头标识</t>
  </si>
  <si>
    <t>在元件TAPE中心标个类T的符号，T上面的横在风管尺寸较大端</t>
  </si>
  <si>
    <t>偏心标识</t>
  </si>
  <si>
    <t>图例表达，元件类型是OFST</t>
  </si>
  <si>
    <t>设备位号</t>
  </si>
  <si>
    <t>TYPE为EQUI，机组号+EQUI Name第5-7，8-最后一位</t>
  </si>
  <si>
    <t>风管管径</t>
  </si>
  <si>
    <t>风管标高</t>
  </si>
  <si>
    <t>风管底（中心）标高</t>
  </si>
  <si>
    <t>风管长度</t>
  </si>
  <si>
    <t>距墙定位信息</t>
  </si>
  <si>
    <t>标注相对于墙体的位置尺寸</t>
  </si>
  <si>
    <t>设备定位信息</t>
  </si>
  <si>
    <t>调整段</t>
  </si>
  <si>
    <t>自定义属性:LF，如果LF上有值，取LF的值</t>
  </si>
  <si>
    <t>通风支架平剖面布置图</t>
  </si>
  <si>
    <t>支架类型</t>
  </si>
  <si>
    <t>符号替换</t>
  </si>
  <si>
    <t>支架顺序号</t>
  </si>
  <si>
    <t>名称标注</t>
  </si>
  <si>
    <t>通风系统材料清单</t>
  </si>
  <si>
    <t>管段材料清单</t>
  </si>
  <si>
    <t>管段，加强，法兰，垫片，螺栓，螺母</t>
  </si>
  <si>
    <t>在平台上实现</t>
  </si>
  <si>
    <t>附件材料清单</t>
  </si>
  <si>
    <t>阀门，风口，其他附件</t>
  </si>
  <si>
    <t>工艺支吊架</t>
  </si>
  <si>
    <t>三视图</t>
  </si>
  <si>
    <r>
      <rPr>
        <sz val="10"/>
        <color theme="1"/>
        <rFont val="Microsoft YaHei"/>
        <family val="2"/>
        <charset val="134"/>
      </rPr>
      <t xml:space="preserve">顶视图，侧视图，轴测图
</t>
    </r>
    <r>
      <rPr>
        <sz val="10"/>
        <color rgb="FFFF0000"/>
        <rFont val="Microsoft YaHei"/>
        <family val="2"/>
        <charset val="134"/>
      </rPr>
      <t>难点：
1.支吊架层次是Stru,但是支吊架的方向需要从其中的横梁来确定，需要硬代码获取侧视图和轴测图方向</t>
    </r>
  </si>
  <si>
    <t>尺寸标注</t>
  </si>
  <si>
    <r>
      <rPr>
        <sz val="10"/>
        <rFont val="Microsoft YaHei"/>
        <family val="2"/>
        <charset val="134"/>
      </rPr>
      <t xml:space="preserve">与墙的定位，远墙的处理
</t>
    </r>
    <r>
      <rPr>
        <sz val="10"/>
        <color rgb="FFFF0000"/>
        <rFont val="Microsoft YaHei"/>
        <family val="2"/>
        <charset val="134"/>
      </rPr>
      <t>难点：
1.将强用符号替换，引入到视图范围内，添加标注</t>
    </r>
  </si>
  <si>
    <t>导向块剖视图</t>
  </si>
  <si>
    <r>
      <rPr>
        <sz val="10"/>
        <rFont val="Microsoft YaHei"/>
        <family val="2"/>
        <charset val="134"/>
      </rPr>
      <t xml:space="preserve">导向块剖视图
</t>
    </r>
    <r>
      <rPr>
        <sz val="10"/>
        <color rgb="FFFF0000"/>
        <rFont val="Microsoft YaHei"/>
        <family val="2"/>
        <charset val="134"/>
      </rPr>
      <t>难点：
1.判断是否有导向块
2.自动创建剖视图</t>
    </r>
  </si>
  <si>
    <t>跟轴线的定位</t>
  </si>
  <si>
    <t>跟轴线的定位尺寸</t>
  </si>
  <si>
    <t>焊点信息</t>
  </si>
  <si>
    <r>
      <rPr>
        <sz val="10"/>
        <rFont val="Microsoft YaHei"/>
        <family val="2"/>
        <charset val="134"/>
      </rPr>
      <t xml:space="preserve">焊点信息
</t>
    </r>
    <r>
      <rPr>
        <sz val="10"/>
        <color rgb="FFFF0000"/>
        <rFont val="Microsoft YaHei"/>
        <family val="2"/>
        <charset val="134"/>
      </rPr>
      <t>难点：
1.焊点信息无法从模型获取</t>
    </r>
  </si>
  <si>
    <t>标高标注</t>
  </si>
  <si>
    <t>工艺图</t>
  </si>
  <si>
    <t>管线定位尺寸标注</t>
  </si>
  <si>
    <t>定位尺寸标注</t>
  </si>
  <si>
    <t>管线号标注</t>
  </si>
  <si>
    <r>
      <rPr>
        <sz val="10"/>
        <rFont val="Microsoft YaHei"/>
        <family val="2"/>
        <charset val="134"/>
      </rPr>
      <t xml:space="preserve">管线号标注
</t>
    </r>
    <r>
      <rPr>
        <sz val="10"/>
        <color rgb="FFFF0000"/>
        <rFont val="Microsoft YaHei"/>
        <family val="2"/>
        <charset val="134"/>
      </rPr>
      <t>难点：
1.在每个Branch的最长直段上标注，需要单独计算</t>
    </r>
  </si>
  <si>
    <t>水工专业</t>
  </si>
  <si>
    <t>平面图管道名称标注</t>
  </si>
  <si>
    <t>平面图管道坡度标注</t>
  </si>
  <si>
    <t>平面图坐标标注</t>
  </si>
  <si>
    <t>平面图尺寸标注</t>
  </si>
  <si>
    <t>详图管道名称标注</t>
  </si>
  <si>
    <t>详图结构标高标注</t>
  </si>
  <si>
    <t>详图尺寸标注</t>
  </si>
  <si>
    <t>水点标注</t>
  </si>
  <si>
    <t>支吊架符号替换</t>
  </si>
  <si>
    <t>支吊架标注</t>
  </si>
  <si>
    <t>阀门标注</t>
  </si>
  <si>
    <t>通信设施符号替换</t>
  </si>
  <si>
    <t>通信设施名称标注</t>
  </si>
  <si>
    <t>通信设施连线</t>
  </si>
  <si>
    <t>已完成</t>
    <phoneticPr fontId="27" type="noConversion"/>
  </si>
  <si>
    <t>2023/4/15&gt;2023/4/30</t>
    <phoneticPr fontId="27" type="noConversion"/>
  </si>
  <si>
    <t>2023/4/15&gt;2023/4/20</t>
    <phoneticPr fontId="27" type="noConversion"/>
  </si>
  <si>
    <t>已完成50%进度，接口内容较为复杂，调整时间</t>
    <phoneticPr fontId="27" type="noConversion"/>
  </si>
  <si>
    <t>已完成80%，等待房间号开发完成直接赋值</t>
    <phoneticPr fontId="27" type="noConversion"/>
  </si>
  <si>
    <t>2023/4/15&gt;2023/4/25</t>
    <phoneticPr fontId="27" type="noConversion"/>
  </si>
  <si>
    <t>已完成90%，正在调试阶段</t>
    <phoneticPr fontId="27" type="noConversion"/>
  </si>
  <si>
    <t>接口已完成50%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</si>
</sst>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indexed="8"/>
      <name val="宋体"/>
      <charset val="134"/>
      <scheme val="minor"/>
    </font>
    <font>
      <sz val="10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rgb="FFFF0000"/>
      <name val="SimSun"/>
      <charset val="134"/>
    </font>
    <font>
      <sz val="10"/>
      <name val="微软雅黑"/>
      <charset val="134"/>
    </font>
    <font>
      <b/>
      <sz val="12"/>
      <color rgb="FFFF0000"/>
      <name val="Microsoft YaHei UI"/>
      <family val="1"/>
    </font>
    <font>
      <sz val="10"/>
      <name val="SimSun"/>
      <family val="3"/>
      <charset val="134"/>
    </font>
    <font>
      <sz val="10"/>
      <name val="宋体"/>
      <family val="3"/>
      <charset val="134"/>
    </font>
    <font>
      <sz val="10"/>
      <color indexed="8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FF0000"/>
      <name val="宋体"/>
      <family val="3"/>
      <charset val="134"/>
      <scheme val="minor"/>
    </font>
    <font>
      <sz val="10"/>
      <color rgb="FF000000"/>
      <name val="SimSun"/>
      <family val="3"/>
      <charset val="134"/>
    </font>
    <font>
      <sz val="10"/>
      <color rgb="FFFF0000"/>
      <name val="微软雅黑"/>
      <family val="2"/>
      <charset val="134"/>
    </font>
    <font>
      <b/>
      <sz val="10"/>
      <color rgb="FFFF0000"/>
      <name val="SimSun"/>
      <family val="3"/>
      <charset val="134"/>
    </font>
    <font>
      <b/>
      <sz val="10"/>
      <name val="SimSun"/>
      <family val="3"/>
      <charset val="134"/>
    </font>
    <font>
      <sz val="10"/>
      <color theme="1"/>
      <name val="SimSun"/>
      <family val="3"/>
      <charset val="134"/>
    </font>
    <font>
      <sz val="10"/>
      <color rgb="FF000000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1"/>
      <color rgb="FFFF0000"/>
      <name val="Microsoft YaHei"/>
      <family val="2"/>
      <charset val="134"/>
    </font>
    <font>
      <b/>
      <sz val="11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sz val="10"/>
      <color rgb="FFFF0000"/>
      <name val="Microsoft YaHei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4" fontId="20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6D576"/>
      <color rgb="FFF968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D733"/>
  <sheetViews>
    <sheetView tabSelected="1" workbookViewId="0">
      <pane xSplit="3" ySplit="3" topLeftCell="D225" activePane="bottomRight" state="frozen"/>
      <selection pane="topRight"/>
      <selection pane="bottomLeft"/>
      <selection pane="bottomRight" activeCell="D327" sqref="D327"/>
    </sheetView>
  </sheetViews>
  <sheetFormatPr baseColWidth="10" defaultColWidth="34.5" defaultRowHeight="70" customHeight="1"/>
  <cols>
    <col min="1" max="1" width="4.33203125" style="2" customWidth="1"/>
    <col min="2" max="2" width="22.6640625" style="2" customWidth="1"/>
    <col min="3" max="3" width="44" style="2" customWidth="1"/>
    <col min="4" max="4" width="24.33203125" style="4" customWidth="1"/>
    <col min="5" max="5" width="9.6640625" style="4" customWidth="1"/>
    <col min="6" max="6" width="11.5" style="4" customWidth="1"/>
    <col min="7" max="7" width="12.1640625" style="4" customWidth="1"/>
    <col min="8" max="8" width="30.1640625" style="4" customWidth="1"/>
    <col min="9" max="9" width="9.6640625" style="2" customWidth="1"/>
    <col min="10" max="10" width="27.83203125" style="2" customWidth="1"/>
    <col min="11" max="11" width="22.5" style="2" customWidth="1"/>
    <col min="12" max="12" width="12.6640625" style="2" customWidth="1"/>
    <col min="13" max="13" width="12.1640625" style="2" customWidth="1"/>
    <col min="14" max="14" width="15.1640625" style="2" customWidth="1"/>
    <col min="15" max="15" width="7.83203125" style="2" customWidth="1"/>
    <col min="16" max="16" width="9.6640625" style="2" customWidth="1"/>
    <col min="17" max="17" width="8.83203125" style="2" customWidth="1"/>
    <col min="18" max="18" width="9.6640625" style="2" customWidth="1"/>
    <col min="19" max="19" width="8.83203125" style="2" customWidth="1"/>
    <col min="20" max="20" width="9.6640625" style="2" customWidth="1"/>
    <col min="21" max="21" width="8.83203125" style="2" customWidth="1"/>
    <col min="22" max="22" width="18.83203125" style="2" customWidth="1"/>
    <col min="23" max="23" width="17" style="5" customWidth="1"/>
    <col min="24" max="24" width="9.6640625" style="5" customWidth="1"/>
    <col min="25" max="25" width="15.1640625" style="5" customWidth="1"/>
    <col min="26" max="26" width="11.5" style="2" customWidth="1"/>
    <col min="27" max="27" width="7.83203125" style="2" customWidth="1"/>
    <col min="28" max="28" width="15.1640625" style="2" customWidth="1"/>
    <col min="29" max="29" width="7.83203125" style="2" customWidth="1"/>
    <col min="30" max="30" width="9.6640625" style="2" customWidth="1"/>
    <col min="31" max="31" width="4.33203125" style="2" customWidth="1"/>
    <col min="32" max="32" width="7.83203125" style="2" customWidth="1"/>
    <col min="33" max="16384" width="34.5" style="2"/>
  </cols>
  <sheetData>
    <row r="1" spans="1:32" ht="16">
      <c r="A1" s="50" t="s">
        <v>0</v>
      </c>
      <c r="B1" s="50" t="s">
        <v>1</v>
      </c>
      <c r="C1" s="50" t="s">
        <v>2</v>
      </c>
      <c r="D1" s="50" t="s">
        <v>3</v>
      </c>
      <c r="E1" s="51"/>
      <c r="F1" s="51"/>
      <c r="G1" s="51"/>
      <c r="H1" s="51"/>
      <c r="I1" s="50" t="s">
        <v>4</v>
      </c>
      <c r="J1" s="51"/>
      <c r="K1" s="51"/>
      <c r="L1" s="50" t="s">
        <v>5</v>
      </c>
      <c r="M1" s="50"/>
      <c r="N1" s="50"/>
      <c r="O1" s="51" t="s">
        <v>6</v>
      </c>
      <c r="P1" s="51"/>
      <c r="Q1" s="51"/>
      <c r="R1" s="51"/>
      <c r="S1" s="51"/>
      <c r="T1" s="51"/>
      <c r="U1" s="51"/>
      <c r="V1" s="51"/>
      <c r="W1" s="50" t="s">
        <v>7</v>
      </c>
      <c r="X1" s="50"/>
      <c r="Y1" s="51"/>
      <c r="Z1" s="50" t="s">
        <v>8</v>
      </c>
      <c r="AA1" s="50"/>
      <c r="AB1" s="51"/>
      <c r="AC1" s="50" t="s">
        <v>9</v>
      </c>
      <c r="AD1" s="50" t="s">
        <v>10</v>
      </c>
      <c r="AE1" s="50" t="s">
        <v>11</v>
      </c>
      <c r="AF1" s="50" t="s">
        <v>12</v>
      </c>
    </row>
    <row r="2" spans="1:32" ht="30">
      <c r="A2" s="51"/>
      <c r="B2" s="51"/>
      <c r="C2" s="57"/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6" t="s">
        <v>21</v>
      </c>
      <c r="M2" s="6" t="s">
        <v>22</v>
      </c>
      <c r="N2" s="6" t="s">
        <v>23</v>
      </c>
      <c r="O2" s="6" t="s">
        <v>24</v>
      </c>
      <c r="P2" s="6" t="s">
        <v>25</v>
      </c>
      <c r="Q2" s="6" t="s">
        <v>26</v>
      </c>
      <c r="R2" s="6" t="s">
        <v>27</v>
      </c>
      <c r="S2" s="6" t="s">
        <v>28</v>
      </c>
      <c r="T2" s="6" t="s">
        <v>29</v>
      </c>
      <c r="U2" s="6" t="s">
        <v>30</v>
      </c>
      <c r="V2" s="6" t="s">
        <v>31</v>
      </c>
      <c r="W2" s="6" t="s">
        <v>32</v>
      </c>
      <c r="X2" s="6" t="s">
        <v>33</v>
      </c>
      <c r="Y2" s="6" t="s">
        <v>34</v>
      </c>
      <c r="Z2" s="6" t="s">
        <v>35</v>
      </c>
      <c r="AA2" s="6" t="s">
        <v>36</v>
      </c>
      <c r="AB2" s="6" t="s">
        <v>37</v>
      </c>
      <c r="AC2" s="51"/>
      <c r="AD2" s="51"/>
      <c r="AE2" s="51"/>
      <c r="AF2" s="51"/>
    </row>
    <row r="3" spans="1:32" ht="16" hidden="1">
      <c r="A3" s="52" t="s">
        <v>38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</row>
    <row r="4" spans="1:32" ht="45" hidden="1">
      <c r="A4" s="8">
        <v>1</v>
      </c>
      <c r="B4" s="8" t="s">
        <v>39</v>
      </c>
      <c r="C4" s="8" t="s">
        <v>40</v>
      </c>
      <c r="D4" s="8" t="s">
        <v>41</v>
      </c>
      <c r="E4" s="8" t="s">
        <v>42</v>
      </c>
      <c r="F4" s="9">
        <v>45005</v>
      </c>
      <c r="G4" s="9">
        <v>45027</v>
      </c>
      <c r="H4" s="6" t="s">
        <v>43</v>
      </c>
      <c r="I4" s="8" t="s">
        <v>44</v>
      </c>
      <c r="J4" s="9">
        <v>45030</v>
      </c>
      <c r="K4" s="15" t="s">
        <v>45</v>
      </c>
      <c r="L4" s="16" t="s">
        <v>46</v>
      </c>
      <c r="M4" s="9">
        <v>45033</v>
      </c>
      <c r="N4" s="6"/>
      <c r="O4" s="8" t="s">
        <v>47</v>
      </c>
      <c r="P4" s="9">
        <f>M4+2</f>
        <v>45035</v>
      </c>
      <c r="Q4" s="6" t="s">
        <v>48</v>
      </c>
      <c r="R4" s="9">
        <f>P4+2</f>
        <v>45037</v>
      </c>
      <c r="S4" s="6" t="s">
        <v>48</v>
      </c>
      <c r="T4" s="9">
        <f>R4+3</f>
        <v>45040</v>
      </c>
      <c r="U4" s="6" t="s">
        <v>48</v>
      </c>
      <c r="V4" s="8"/>
      <c r="W4" s="17">
        <v>45073</v>
      </c>
      <c r="X4" s="8"/>
      <c r="Y4" s="7"/>
      <c r="Z4" s="17">
        <v>45077</v>
      </c>
      <c r="AA4" s="8"/>
      <c r="AB4" s="7"/>
      <c r="AC4" s="8"/>
      <c r="AD4" s="8"/>
      <c r="AE4" s="8"/>
      <c r="AF4" s="8"/>
    </row>
    <row r="5" spans="1:32" ht="45" hidden="1">
      <c r="A5" s="4">
        <v>2</v>
      </c>
      <c r="B5" s="4" t="s">
        <v>49</v>
      </c>
      <c r="C5" s="10" t="s">
        <v>50</v>
      </c>
      <c r="D5" s="8" t="s">
        <v>41</v>
      </c>
      <c r="E5" s="8" t="s">
        <v>42</v>
      </c>
      <c r="F5" s="9">
        <v>45007</v>
      </c>
      <c r="G5" s="9">
        <v>45027</v>
      </c>
      <c r="H5" s="6" t="s">
        <v>51</v>
      </c>
      <c r="I5" s="4" t="s">
        <v>44</v>
      </c>
      <c r="J5" s="9">
        <v>45030</v>
      </c>
      <c r="K5" s="15" t="s">
        <v>52</v>
      </c>
      <c r="L5" s="16" t="s">
        <v>46</v>
      </c>
      <c r="M5" s="9">
        <v>45033</v>
      </c>
      <c r="N5" s="4"/>
      <c r="O5" s="8" t="s">
        <v>47</v>
      </c>
      <c r="P5" s="9">
        <v>45034</v>
      </c>
      <c r="Q5" s="4"/>
      <c r="R5" s="9">
        <v>45036</v>
      </c>
      <c r="S5" s="8"/>
      <c r="T5" s="9">
        <v>45038</v>
      </c>
      <c r="U5" s="4"/>
      <c r="V5" s="4"/>
      <c r="W5" s="17">
        <v>45073</v>
      </c>
      <c r="X5" s="4"/>
      <c r="Y5" s="4"/>
      <c r="Z5" s="17">
        <v>45077</v>
      </c>
      <c r="AA5" s="4"/>
      <c r="AB5" s="4"/>
      <c r="AC5" s="4"/>
      <c r="AD5" s="4"/>
      <c r="AE5" s="4"/>
      <c r="AF5" s="4"/>
    </row>
    <row r="6" spans="1:32" ht="30" hidden="1">
      <c r="A6" s="8">
        <v>3</v>
      </c>
      <c r="B6" s="55" t="s">
        <v>53</v>
      </c>
      <c r="C6" s="8" t="s">
        <v>54</v>
      </c>
      <c r="D6" s="8" t="s">
        <v>41</v>
      </c>
      <c r="E6" s="8" t="s">
        <v>42</v>
      </c>
      <c r="F6" s="9">
        <v>45000</v>
      </c>
      <c r="G6" s="9">
        <v>45029</v>
      </c>
      <c r="H6" s="11" t="s">
        <v>55</v>
      </c>
      <c r="I6" s="4" t="s">
        <v>44</v>
      </c>
      <c r="J6" s="9">
        <v>45033</v>
      </c>
      <c r="K6" s="58" t="s">
        <v>56</v>
      </c>
      <c r="L6" s="16" t="s">
        <v>46</v>
      </c>
      <c r="M6" s="17">
        <v>45041</v>
      </c>
      <c r="N6" s="8"/>
      <c r="O6" s="8" t="s">
        <v>47</v>
      </c>
      <c r="P6" s="17">
        <v>45042</v>
      </c>
      <c r="Q6" s="8"/>
      <c r="R6" s="17">
        <v>45044</v>
      </c>
      <c r="S6" s="8"/>
      <c r="T6" s="17">
        <v>45046</v>
      </c>
      <c r="U6" s="8"/>
      <c r="V6" s="8"/>
      <c r="W6" s="17">
        <v>45073</v>
      </c>
      <c r="X6" s="8"/>
      <c r="Y6" s="21"/>
      <c r="Z6" s="17">
        <v>45077</v>
      </c>
      <c r="AA6" s="8"/>
      <c r="AB6" s="21"/>
      <c r="AC6" s="8"/>
      <c r="AD6" s="8"/>
      <c r="AE6" s="8"/>
      <c r="AF6" s="8"/>
    </row>
    <row r="7" spans="1:32" ht="30" hidden="1">
      <c r="A7" s="4">
        <v>4</v>
      </c>
      <c r="B7" s="55"/>
      <c r="C7" s="8" t="s">
        <v>57</v>
      </c>
      <c r="D7" s="8" t="s">
        <v>41</v>
      </c>
      <c r="E7" s="8" t="s">
        <v>42</v>
      </c>
      <c r="F7" s="9">
        <v>45000</v>
      </c>
      <c r="G7" s="9">
        <v>45029</v>
      </c>
      <c r="H7" s="11" t="s">
        <v>55</v>
      </c>
      <c r="I7" s="4" t="s">
        <v>44</v>
      </c>
      <c r="J7" s="9">
        <v>45035</v>
      </c>
      <c r="K7" s="58"/>
      <c r="L7" s="16" t="s">
        <v>46</v>
      </c>
      <c r="M7" s="17">
        <f>J7+2</f>
        <v>45037</v>
      </c>
      <c r="N7" s="8"/>
      <c r="O7" s="8" t="s">
        <v>47</v>
      </c>
      <c r="P7" s="17">
        <f>M7+3</f>
        <v>45040</v>
      </c>
      <c r="Q7" s="8"/>
      <c r="R7" s="17">
        <f>P7+2</f>
        <v>45042</v>
      </c>
      <c r="S7" s="8"/>
      <c r="T7" s="17">
        <f>R7+2</f>
        <v>45044</v>
      </c>
      <c r="U7" s="8"/>
      <c r="V7" s="8"/>
      <c r="W7" s="17">
        <v>45073</v>
      </c>
      <c r="X7" s="8"/>
      <c r="Y7" s="21"/>
      <c r="Z7" s="17">
        <v>45077</v>
      </c>
      <c r="AA7" s="8"/>
      <c r="AB7" s="21"/>
      <c r="AC7" s="8"/>
      <c r="AD7" s="8"/>
      <c r="AE7" s="8"/>
      <c r="AF7" s="8"/>
    </row>
    <row r="8" spans="1:32" ht="30" hidden="1">
      <c r="A8" s="8">
        <v>5</v>
      </c>
      <c r="B8" s="55"/>
      <c r="C8" s="8" t="s">
        <v>58</v>
      </c>
      <c r="D8" s="8" t="s">
        <v>41</v>
      </c>
      <c r="E8" s="8" t="s">
        <v>42</v>
      </c>
      <c r="F8" s="9">
        <v>45000</v>
      </c>
      <c r="G8" s="9">
        <v>45029</v>
      </c>
      <c r="H8" s="11" t="s">
        <v>55</v>
      </c>
      <c r="I8" s="4" t="s">
        <v>44</v>
      </c>
      <c r="J8" s="9">
        <v>45036</v>
      </c>
      <c r="K8" s="58"/>
      <c r="L8" s="16" t="s">
        <v>46</v>
      </c>
      <c r="M8" s="17">
        <f t="shared" ref="M8:M71" si="0">J8+2</f>
        <v>45038</v>
      </c>
      <c r="N8" s="8"/>
      <c r="O8" s="8" t="s">
        <v>47</v>
      </c>
      <c r="P8" s="17">
        <f>M8+2</f>
        <v>45040</v>
      </c>
      <c r="Q8" s="8"/>
      <c r="R8" s="17">
        <f>P8+2</f>
        <v>45042</v>
      </c>
      <c r="S8" s="8"/>
      <c r="T8" s="17">
        <f>R8+2</f>
        <v>45044</v>
      </c>
      <c r="U8" s="8"/>
      <c r="V8" s="8"/>
      <c r="W8" s="17">
        <v>45073</v>
      </c>
      <c r="X8" s="8"/>
      <c r="Y8" s="21"/>
      <c r="Z8" s="17">
        <v>45077</v>
      </c>
      <c r="AA8" s="8"/>
      <c r="AB8" s="21"/>
      <c r="AC8" s="8"/>
      <c r="AD8" s="8"/>
      <c r="AE8" s="8"/>
      <c r="AF8" s="8"/>
    </row>
    <row r="9" spans="1:32" ht="62" hidden="1" customHeight="1">
      <c r="A9" s="4">
        <v>6</v>
      </c>
      <c r="B9" s="55"/>
      <c r="C9" s="8" t="s">
        <v>59</v>
      </c>
      <c r="D9" s="8" t="s">
        <v>41</v>
      </c>
      <c r="E9" s="8" t="s">
        <v>42</v>
      </c>
      <c r="F9" s="9">
        <v>45000</v>
      </c>
      <c r="G9" s="9">
        <v>45029</v>
      </c>
      <c r="H9" s="11" t="s">
        <v>55</v>
      </c>
      <c r="I9" s="4" t="s">
        <v>44</v>
      </c>
      <c r="J9" s="9">
        <v>45037</v>
      </c>
      <c r="K9" s="58"/>
      <c r="L9" s="16" t="s">
        <v>46</v>
      </c>
      <c r="M9" s="17">
        <f t="shared" si="0"/>
        <v>45039</v>
      </c>
      <c r="N9" s="8"/>
      <c r="O9" s="8" t="s">
        <v>47</v>
      </c>
      <c r="P9" s="17">
        <f>M9+1</f>
        <v>45040</v>
      </c>
      <c r="Q9" s="8"/>
      <c r="R9" s="17">
        <f>P9+2</f>
        <v>45042</v>
      </c>
      <c r="S9" s="8"/>
      <c r="T9" s="17">
        <f>R9+2</f>
        <v>45044</v>
      </c>
      <c r="U9" s="8"/>
      <c r="V9" s="8"/>
      <c r="W9" s="17">
        <v>45073</v>
      </c>
      <c r="X9" s="8"/>
      <c r="Y9" s="21"/>
      <c r="Z9" s="17">
        <v>45077</v>
      </c>
      <c r="AA9" s="8"/>
      <c r="AB9" s="21"/>
      <c r="AC9" s="8"/>
      <c r="AD9" s="8"/>
      <c r="AE9" s="8"/>
      <c r="AF9" s="8"/>
    </row>
    <row r="10" spans="1:32" ht="30" hidden="1">
      <c r="A10" s="8">
        <v>7</v>
      </c>
      <c r="B10" s="55" t="s">
        <v>60</v>
      </c>
      <c r="C10" s="8" t="s">
        <v>61</v>
      </c>
      <c r="D10" s="8" t="s">
        <v>41</v>
      </c>
      <c r="E10" s="8" t="s">
        <v>42</v>
      </c>
      <c r="F10" s="9">
        <v>45000</v>
      </c>
      <c r="G10" s="9">
        <v>45029</v>
      </c>
      <c r="H10" s="11" t="s">
        <v>55</v>
      </c>
      <c r="I10" s="4" t="s">
        <v>44</v>
      </c>
      <c r="J10" s="9">
        <v>45033</v>
      </c>
      <c r="K10" s="58" t="s">
        <v>56</v>
      </c>
      <c r="L10" s="16" t="s">
        <v>46</v>
      </c>
      <c r="M10" s="17">
        <f t="shared" si="0"/>
        <v>45035</v>
      </c>
      <c r="N10" s="8"/>
      <c r="O10" s="8" t="s">
        <v>47</v>
      </c>
      <c r="P10" s="17">
        <f>M10+2</f>
        <v>45037</v>
      </c>
      <c r="Q10" s="8"/>
      <c r="R10" s="17">
        <f>P10+3</f>
        <v>45040</v>
      </c>
      <c r="S10" s="8"/>
      <c r="T10" s="17">
        <f>R10+2</f>
        <v>45042</v>
      </c>
      <c r="U10" s="8"/>
      <c r="V10" s="8"/>
      <c r="W10" s="17">
        <v>45073</v>
      </c>
      <c r="X10" s="8"/>
      <c r="Y10" s="21"/>
      <c r="Z10" s="17">
        <v>45077</v>
      </c>
      <c r="AA10" s="8"/>
      <c r="AB10" s="21"/>
      <c r="AC10" s="8"/>
      <c r="AD10" s="8"/>
      <c r="AE10" s="8"/>
      <c r="AF10" s="8"/>
    </row>
    <row r="11" spans="1:32" ht="30" hidden="1">
      <c r="A11" s="4">
        <v>8</v>
      </c>
      <c r="B11" s="55"/>
      <c r="C11" s="8" t="s">
        <v>62</v>
      </c>
      <c r="D11" s="8" t="s">
        <v>41</v>
      </c>
      <c r="E11" s="8" t="s">
        <v>42</v>
      </c>
      <c r="F11" s="9">
        <v>45000</v>
      </c>
      <c r="G11" s="9">
        <v>45029</v>
      </c>
      <c r="H11" s="11" t="s">
        <v>55</v>
      </c>
      <c r="I11" s="4" t="s">
        <v>44</v>
      </c>
      <c r="J11" s="9">
        <v>45035</v>
      </c>
      <c r="K11" s="58"/>
      <c r="L11" s="16" t="s">
        <v>46</v>
      </c>
      <c r="M11" s="17">
        <f t="shared" si="0"/>
        <v>45037</v>
      </c>
      <c r="N11" s="8"/>
      <c r="O11" s="8" t="s">
        <v>47</v>
      </c>
      <c r="P11" s="17">
        <f>M11+3</f>
        <v>45040</v>
      </c>
      <c r="Q11" s="8"/>
      <c r="R11" s="17">
        <f>P11+2</f>
        <v>45042</v>
      </c>
      <c r="S11" s="8"/>
      <c r="T11" s="17">
        <f>R11+2</f>
        <v>45044</v>
      </c>
      <c r="U11" s="8"/>
      <c r="V11" s="8"/>
      <c r="W11" s="17">
        <v>45073</v>
      </c>
      <c r="X11" s="8"/>
      <c r="Y11" s="21"/>
      <c r="Z11" s="17">
        <v>45077</v>
      </c>
      <c r="AA11" s="8"/>
      <c r="AB11" s="21"/>
      <c r="AC11" s="8"/>
      <c r="AD11" s="8"/>
      <c r="AE11" s="8"/>
      <c r="AF11" s="8"/>
    </row>
    <row r="12" spans="1:32" ht="30" hidden="1">
      <c r="A12" s="8">
        <v>9</v>
      </c>
      <c r="B12" s="55"/>
      <c r="C12" s="8" t="s">
        <v>63</v>
      </c>
      <c r="D12" s="8" t="s">
        <v>41</v>
      </c>
      <c r="E12" s="8" t="s">
        <v>42</v>
      </c>
      <c r="F12" s="9">
        <v>45000</v>
      </c>
      <c r="G12" s="9">
        <v>45029</v>
      </c>
      <c r="H12" s="11" t="s">
        <v>55</v>
      </c>
      <c r="I12" s="4" t="s">
        <v>44</v>
      </c>
      <c r="J12" s="9">
        <v>45036</v>
      </c>
      <c r="K12" s="58"/>
      <c r="L12" s="16" t="s">
        <v>46</v>
      </c>
      <c r="M12" s="17">
        <f t="shared" si="0"/>
        <v>45038</v>
      </c>
      <c r="N12" s="8"/>
      <c r="O12" s="8" t="s">
        <v>47</v>
      </c>
      <c r="P12" s="17">
        <f t="shared" ref="P12:P16" si="1">M12+2</f>
        <v>45040</v>
      </c>
      <c r="Q12" s="8"/>
      <c r="R12" s="17">
        <f t="shared" ref="R12:R18" si="2">P12+2</f>
        <v>45042</v>
      </c>
      <c r="S12" s="8"/>
      <c r="T12" s="17">
        <f t="shared" ref="T12:T18" si="3">R12+2</f>
        <v>45044</v>
      </c>
      <c r="U12" s="8"/>
      <c r="V12" s="8"/>
      <c r="W12" s="17">
        <v>45073</v>
      </c>
      <c r="X12" s="8"/>
      <c r="Y12" s="21"/>
      <c r="Z12" s="17">
        <v>45077</v>
      </c>
      <c r="AA12" s="8"/>
      <c r="AB12" s="21"/>
      <c r="AC12" s="8"/>
      <c r="AD12" s="8"/>
      <c r="AE12" s="8"/>
      <c r="AF12" s="8"/>
    </row>
    <row r="13" spans="1:32" ht="60" hidden="1">
      <c r="A13" s="4">
        <v>10</v>
      </c>
      <c r="B13" s="55"/>
      <c r="C13" s="8" t="s">
        <v>59</v>
      </c>
      <c r="D13" s="8" t="s">
        <v>41</v>
      </c>
      <c r="E13" s="8" t="s">
        <v>42</v>
      </c>
      <c r="F13" s="9">
        <v>45000</v>
      </c>
      <c r="G13" s="9">
        <v>45029</v>
      </c>
      <c r="H13" s="11" t="s">
        <v>55</v>
      </c>
      <c r="I13" s="4" t="s">
        <v>44</v>
      </c>
      <c r="J13" s="9">
        <v>45037</v>
      </c>
      <c r="K13" s="58"/>
      <c r="L13" s="16" t="s">
        <v>46</v>
      </c>
      <c r="M13" s="17">
        <f t="shared" si="0"/>
        <v>45039</v>
      </c>
      <c r="N13" s="8"/>
      <c r="O13" s="8" t="s">
        <v>47</v>
      </c>
      <c r="P13" s="17">
        <f t="shared" si="1"/>
        <v>45041</v>
      </c>
      <c r="Q13" s="8"/>
      <c r="R13" s="17">
        <f t="shared" si="2"/>
        <v>45043</v>
      </c>
      <c r="S13" s="8"/>
      <c r="T13" s="17">
        <f t="shared" si="3"/>
        <v>45045</v>
      </c>
      <c r="U13" s="8"/>
      <c r="V13" s="8"/>
      <c r="W13" s="17">
        <v>45073</v>
      </c>
      <c r="X13" s="8"/>
      <c r="Y13" s="21"/>
      <c r="Z13" s="17">
        <v>45077</v>
      </c>
      <c r="AA13" s="8"/>
      <c r="AB13" s="21"/>
      <c r="AC13" s="8"/>
      <c r="AD13" s="8"/>
      <c r="AE13" s="8"/>
      <c r="AF13" s="8"/>
    </row>
    <row r="14" spans="1:32" ht="30" hidden="1">
      <c r="A14" s="8">
        <v>11</v>
      </c>
      <c r="B14" s="56" t="s">
        <v>64</v>
      </c>
      <c r="C14" s="8" t="s">
        <v>65</v>
      </c>
      <c r="D14" s="8" t="s">
        <v>41</v>
      </c>
      <c r="E14" s="8" t="s">
        <v>42</v>
      </c>
      <c r="G14" s="9" t="s">
        <v>66</v>
      </c>
      <c r="H14" s="12"/>
      <c r="I14" s="4" t="s">
        <v>44</v>
      </c>
      <c r="J14" s="9">
        <v>45040</v>
      </c>
      <c r="K14" s="58" t="s">
        <v>67</v>
      </c>
      <c r="L14" s="16" t="s">
        <v>46</v>
      </c>
      <c r="M14" s="17">
        <f t="shared" si="0"/>
        <v>45042</v>
      </c>
      <c r="N14" s="8"/>
      <c r="O14" s="8" t="s">
        <v>47</v>
      </c>
      <c r="P14" s="17">
        <f t="shared" si="1"/>
        <v>45044</v>
      </c>
      <c r="Q14" s="8"/>
      <c r="R14" s="17">
        <f t="shared" ref="R14:R19" si="4">P14+1</f>
        <v>45045</v>
      </c>
      <c r="S14" s="8"/>
      <c r="T14" s="17">
        <f t="shared" ref="T14:T19" si="5">R14+5</f>
        <v>45050</v>
      </c>
      <c r="U14" s="8"/>
      <c r="V14" s="8"/>
      <c r="W14" s="17">
        <v>45073</v>
      </c>
      <c r="X14" s="8"/>
      <c r="Y14" s="21"/>
      <c r="Z14" s="17">
        <v>45077</v>
      </c>
      <c r="AA14" s="8"/>
      <c r="AB14" s="21"/>
      <c r="AC14" s="8"/>
      <c r="AD14" s="8"/>
      <c r="AE14" s="8"/>
      <c r="AF14" s="8"/>
    </row>
    <row r="15" spans="1:32" ht="30" hidden="1">
      <c r="A15" s="4">
        <v>12</v>
      </c>
      <c r="B15" s="56"/>
      <c r="C15" s="10" t="s">
        <v>68</v>
      </c>
      <c r="D15" s="8" t="s">
        <v>41</v>
      </c>
      <c r="E15" s="8" t="s">
        <v>42</v>
      </c>
      <c r="G15" s="9" t="s">
        <v>66</v>
      </c>
      <c r="H15" s="12"/>
      <c r="I15" s="4" t="s">
        <v>44</v>
      </c>
      <c r="J15" s="18">
        <v>45043</v>
      </c>
      <c r="K15" s="58"/>
      <c r="L15" s="16" t="s">
        <v>46</v>
      </c>
      <c r="M15" s="17">
        <f>J15+1</f>
        <v>45044</v>
      </c>
      <c r="N15" s="4"/>
      <c r="O15" s="8" t="s">
        <v>47</v>
      </c>
      <c r="P15" s="19">
        <f t="shared" ref="P15:P18" si="6">M15+6</f>
        <v>45050</v>
      </c>
      <c r="Q15" s="4"/>
      <c r="R15" s="19">
        <f t="shared" si="2"/>
        <v>45052</v>
      </c>
      <c r="S15" s="4"/>
      <c r="T15" s="19">
        <f t="shared" si="3"/>
        <v>45054</v>
      </c>
      <c r="U15" s="4"/>
      <c r="V15" s="4"/>
      <c r="W15" s="17">
        <v>45073</v>
      </c>
      <c r="X15" s="4"/>
      <c r="Y15" s="4"/>
      <c r="Z15" s="17">
        <v>45077</v>
      </c>
      <c r="AA15" s="4"/>
      <c r="AB15" s="4"/>
      <c r="AC15" s="4"/>
      <c r="AD15" s="4"/>
      <c r="AE15" s="4"/>
      <c r="AF15" s="4"/>
    </row>
    <row r="16" spans="1:32" ht="30" hidden="1">
      <c r="A16" s="8">
        <v>13</v>
      </c>
      <c r="B16" s="56" t="s">
        <v>69</v>
      </c>
      <c r="C16" s="10" t="s">
        <v>70</v>
      </c>
      <c r="D16" s="8" t="s">
        <v>41</v>
      </c>
      <c r="E16" s="8" t="s">
        <v>42</v>
      </c>
      <c r="G16" s="9" t="s">
        <v>66</v>
      </c>
      <c r="H16" s="12"/>
      <c r="I16" s="4" t="s">
        <v>44</v>
      </c>
      <c r="J16" s="9">
        <v>45040</v>
      </c>
      <c r="K16" s="58" t="s">
        <v>71</v>
      </c>
      <c r="L16" s="16" t="s">
        <v>46</v>
      </c>
      <c r="M16" s="17">
        <f t="shared" si="0"/>
        <v>45042</v>
      </c>
      <c r="N16" s="4"/>
      <c r="O16" s="8" t="s">
        <v>47</v>
      </c>
      <c r="P16" s="17">
        <f t="shared" si="1"/>
        <v>45044</v>
      </c>
      <c r="Q16" s="8"/>
      <c r="R16" s="17">
        <f t="shared" si="4"/>
        <v>45045</v>
      </c>
      <c r="S16" s="8"/>
      <c r="T16" s="17">
        <f t="shared" si="5"/>
        <v>45050</v>
      </c>
      <c r="U16" s="4"/>
      <c r="V16" s="4"/>
      <c r="W16" s="17">
        <v>45073</v>
      </c>
      <c r="X16" s="4"/>
      <c r="Y16" s="4"/>
      <c r="Z16" s="17">
        <v>45077</v>
      </c>
      <c r="AA16" s="4"/>
      <c r="AB16" s="4"/>
      <c r="AC16" s="4"/>
      <c r="AD16" s="4"/>
      <c r="AE16" s="4"/>
      <c r="AF16" s="4"/>
    </row>
    <row r="17" spans="1:32" ht="30" hidden="1">
      <c r="A17" s="4">
        <v>14</v>
      </c>
      <c r="B17" s="56"/>
      <c r="C17" s="10" t="s">
        <v>72</v>
      </c>
      <c r="D17" s="8" t="s">
        <v>41</v>
      </c>
      <c r="E17" s="8" t="s">
        <v>42</v>
      </c>
      <c r="G17" s="9" t="s">
        <v>66</v>
      </c>
      <c r="H17" s="12"/>
      <c r="I17" s="4" t="s">
        <v>44</v>
      </c>
      <c r="J17" s="18">
        <v>45043</v>
      </c>
      <c r="K17" s="58"/>
      <c r="L17" s="16" t="s">
        <v>46</v>
      </c>
      <c r="M17" s="17">
        <f>J17+1</f>
        <v>45044</v>
      </c>
      <c r="N17" s="4"/>
      <c r="O17" s="8" t="s">
        <v>47</v>
      </c>
      <c r="P17" s="19">
        <f t="shared" si="6"/>
        <v>45050</v>
      </c>
      <c r="Q17" s="4"/>
      <c r="R17" s="19">
        <f t="shared" si="2"/>
        <v>45052</v>
      </c>
      <c r="S17" s="4"/>
      <c r="T17" s="19">
        <f t="shared" si="3"/>
        <v>45054</v>
      </c>
      <c r="U17" s="4"/>
      <c r="V17" s="4"/>
      <c r="W17" s="17">
        <v>45073</v>
      </c>
      <c r="X17" s="4"/>
      <c r="Y17" s="4"/>
      <c r="Z17" s="17">
        <v>45077</v>
      </c>
      <c r="AA17" s="4"/>
      <c r="AB17" s="4"/>
      <c r="AC17" s="4"/>
      <c r="AD17" s="4"/>
      <c r="AE17" s="4"/>
      <c r="AF17" s="4"/>
    </row>
    <row r="18" spans="1:32" ht="34" hidden="1">
      <c r="A18" s="8">
        <v>15</v>
      </c>
      <c r="B18" s="56"/>
      <c r="C18" s="10" t="s">
        <v>73</v>
      </c>
      <c r="D18" s="8" t="s">
        <v>74</v>
      </c>
      <c r="E18" s="8" t="s">
        <v>42</v>
      </c>
      <c r="G18" s="9" t="s">
        <v>66</v>
      </c>
      <c r="H18" s="13" t="s">
        <v>75</v>
      </c>
      <c r="I18" s="4" t="s">
        <v>44</v>
      </c>
      <c r="J18" s="18">
        <v>45043</v>
      </c>
      <c r="K18" s="58"/>
      <c r="L18" s="16" t="s">
        <v>46</v>
      </c>
      <c r="M18" s="17">
        <f>J18+1</f>
        <v>45044</v>
      </c>
      <c r="N18" s="4"/>
      <c r="O18" s="8" t="s">
        <v>47</v>
      </c>
      <c r="P18" s="19">
        <f t="shared" si="6"/>
        <v>45050</v>
      </c>
      <c r="Q18" s="4"/>
      <c r="R18" s="19">
        <f t="shared" si="2"/>
        <v>45052</v>
      </c>
      <c r="S18" s="4"/>
      <c r="T18" s="19">
        <f t="shared" si="3"/>
        <v>45054</v>
      </c>
      <c r="U18" s="4"/>
      <c r="V18" s="4"/>
      <c r="W18" s="17">
        <v>45073</v>
      </c>
      <c r="X18" s="4"/>
      <c r="Y18" s="4"/>
      <c r="Z18" s="17">
        <v>45077</v>
      </c>
      <c r="AA18" s="4"/>
      <c r="AB18" s="4"/>
      <c r="AC18" s="4"/>
      <c r="AD18" s="4"/>
      <c r="AE18" s="4"/>
      <c r="AF18" s="4"/>
    </row>
    <row r="19" spans="1:32" ht="30" hidden="1">
      <c r="A19" s="4">
        <v>16</v>
      </c>
      <c r="B19" s="56" t="s">
        <v>76</v>
      </c>
      <c r="C19" s="10" t="s">
        <v>77</v>
      </c>
      <c r="D19" s="8" t="s">
        <v>74</v>
      </c>
      <c r="E19" s="8" t="s">
        <v>42</v>
      </c>
      <c r="G19" s="9">
        <v>45034</v>
      </c>
      <c r="H19" s="13"/>
      <c r="I19" s="4" t="s">
        <v>44</v>
      </c>
      <c r="J19" s="9">
        <v>45040</v>
      </c>
      <c r="K19" s="58" t="s">
        <v>78</v>
      </c>
      <c r="L19" s="16" t="s">
        <v>46</v>
      </c>
      <c r="M19" s="17">
        <f t="shared" si="0"/>
        <v>45042</v>
      </c>
      <c r="N19" s="4"/>
      <c r="O19" s="8" t="s">
        <v>47</v>
      </c>
      <c r="P19" s="17">
        <f>M19+2</f>
        <v>45044</v>
      </c>
      <c r="Q19" s="8"/>
      <c r="R19" s="17">
        <f t="shared" si="4"/>
        <v>45045</v>
      </c>
      <c r="S19" s="8"/>
      <c r="T19" s="17">
        <f t="shared" si="5"/>
        <v>45050</v>
      </c>
      <c r="U19" s="4"/>
      <c r="V19" s="4"/>
      <c r="W19" s="17">
        <v>45073</v>
      </c>
      <c r="X19" s="4"/>
      <c r="Y19" s="4"/>
      <c r="Z19" s="17">
        <v>45077</v>
      </c>
      <c r="AA19" s="4"/>
      <c r="AB19" s="4"/>
      <c r="AC19" s="4"/>
      <c r="AD19" s="4"/>
      <c r="AE19" s="4"/>
      <c r="AF19" s="4"/>
    </row>
    <row r="20" spans="1:32" ht="74" hidden="1" customHeight="1">
      <c r="A20" s="8">
        <v>17</v>
      </c>
      <c r="B20" s="56"/>
      <c r="C20" s="10" t="s">
        <v>79</v>
      </c>
      <c r="D20" s="8" t="s">
        <v>74</v>
      </c>
      <c r="E20" s="8" t="s">
        <v>42</v>
      </c>
      <c r="G20" s="9">
        <v>45034</v>
      </c>
      <c r="H20" s="13" t="s">
        <v>80</v>
      </c>
      <c r="I20" s="4" t="s">
        <v>44</v>
      </c>
      <c r="J20" s="9">
        <v>45041</v>
      </c>
      <c r="K20" s="58"/>
      <c r="L20" s="16" t="s">
        <v>46</v>
      </c>
      <c r="M20" s="17">
        <f t="shared" si="0"/>
        <v>45043</v>
      </c>
      <c r="N20" s="4"/>
      <c r="O20" s="8" t="s">
        <v>47</v>
      </c>
      <c r="P20" s="19">
        <f>M20+2</f>
        <v>45045</v>
      </c>
      <c r="Q20" s="4"/>
      <c r="R20" s="19">
        <f>P20+5</f>
        <v>45050</v>
      </c>
      <c r="S20" s="4"/>
      <c r="T20" s="19">
        <f t="shared" ref="T20:T30" si="7">R20+2</f>
        <v>45052</v>
      </c>
      <c r="U20" s="4"/>
      <c r="V20" s="4"/>
      <c r="W20" s="17">
        <v>45073</v>
      </c>
      <c r="X20" s="4"/>
      <c r="Y20" s="4"/>
      <c r="Z20" s="17">
        <v>45077</v>
      </c>
      <c r="AA20" s="4"/>
      <c r="AB20" s="4"/>
      <c r="AC20" s="4"/>
      <c r="AD20" s="4"/>
      <c r="AE20" s="4"/>
      <c r="AF20" s="4"/>
    </row>
    <row r="21" spans="1:32" ht="30" hidden="1">
      <c r="A21" s="4">
        <v>18</v>
      </c>
      <c r="B21" s="56"/>
      <c r="C21" s="10" t="s">
        <v>81</v>
      </c>
      <c r="D21" s="8" t="s">
        <v>74</v>
      </c>
      <c r="E21" s="8" t="s">
        <v>42</v>
      </c>
      <c r="G21" s="9">
        <v>45034</v>
      </c>
      <c r="H21" s="13"/>
      <c r="I21" s="4" t="s">
        <v>44</v>
      </c>
      <c r="J21" s="18">
        <v>45043</v>
      </c>
      <c r="K21" s="58"/>
      <c r="L21" s="16" t="s">
        <v>46</v>
      </c>
      <c r="M21" s="17">
        <f t="shared" si="0"/>
        <v>45045</v>
      </c>
      <c r="N21" s="4"/>
      <c r="O21" s="8" t="s">
        <v>47</v>
      </c>
      <c r="P21" s="17">
        <f t="shared" ref="P21:P23" si="8">M21+5</f>
        <v>45050</v>
      </c>
      <c r="Q21" s="4"/>
      <c r="R21" s="19">
        <f t="shared" ref="R21:R36" si="9">P21+2</f>
        <v>45052</v>
      </c>
      <c r="S21" s="20"/>
      <c r="T21" s="19">
        <f t="shared" si="7"/>
        <v>45054</v>
      </c>
      <c r="U21" s="4"/>
      <c r="V21" s="4"/>
      <c r="W21" s="17">
        <v>45073</v>
      </c>
      <c r="X21" s="4"/>
      <c r="Y21" s="4"/>
      <c r="Z21" s="17">
        <v>45077</v>
      </c>
      <c r="AA21" s="4"/>
      <c r="AB21" s="4"/>
      <c r="AC21" s="4"/>
      <c r="AD21" s="4"/>
      <c r="AE21" s="4"/>
      <c r="AF21" s="4"/>
    </row>
    <row r="22" spans="1:32" ht="34" hidden="1">
      <c r="A22" s="8">
        <v>19</v>
      </c>
      <c r="B22" s="56"/>
      <c r="C22" s="10" t="s">
        <v>82</v>
      </c>
      <c r="D22" s="8" t="s">
        <v>74</v>
      </c>
      <c r="E22" s="8" t="s">
        <v>42</v>
      </c>
      <c r="G22" s="9">
        <v>45034</v>
      </c>
      <c r="H22" s="13" t="s">
        <v>75</v>
      </c>
      <c r="I22" s="4" t="s">
        <v>44</v>
      </c>
      <c r="J22" s="18">
        <v>45043</v>
      </c>
      <c r="K22" s="58"/>
      <c r="L22" s="16" t="s">
        <v>46</v>
      </c>
      <c r="M22" s="17">
        <f t="shared" si="0"/>
        <v>45045</v>
      </c>
      <c r="N22" s="4"/>
      <c r="O22" s="8" t="s">
        <v>47</v>
      </c>
      <c r="P22" s="17">
        <f t="shared" si="8"/>
        <v>45050</v>
      </c>
      <c r="Q22" s="4"/>
      <c r="R22" s="19">
        <f t="shared" si="9"/>
        <v>45052</v>
      </c>
      <c r="S22" s="20"/>
      <c r="T22" s="19">
        <f t="shared" si="7"/>
        <v>45054</v>
      </c>
      <c r="U22" s="4"/>
      <c r="V22" s="4"/>
      <c r="W22" s="17">
        <v>45073</v>
      </c>
      <c r="X22" s="4"/>
      <c r="Y22" s="4"/>
      <c r="Z22" s="17">
        <v>45077</v>
      </c>
      <c r="AA22" s="4"/>
      <c r="AB22" s="4"/>
      <c r="AC22" s="4"/>
      <c r="AD22" s="4"/>
      <c r="AE22" s="4"/>
      <c r="AF22" s="4"/>
    </row>
    <row r="23" spans="1:32" ht="30" hidden="1">
      <c r="A23" s="4">
        <v>20</v>
      </c>
      <c r="B23" s="56" t="s">
        <v>83</v>
      </c>
      <c r="C23" s="10" t="s">
        <v>84</v>
      </c>
      <c r="D23" s="8" t="s">
        <v>85</v>
      </c>
      <c r="E23" s="8" t="s">
        <v>42</v>
      </c>
      <c r="G23" s="9">
        <v>45032</v>
      </c>
      <c r="H23" s="13"/>
      <c r="I23" s="4" t="s">
        <v>44</v>
      </c>
      <c r="J23" s="18">
        <v>45043</v>
      </c>
      <c r="K23" s="58" t="s">
        <v>86</v>
      </c>
      <c r="L23" s="16" t="s">
        <v>46</v>
      </c>
      <c r="M23" s="17">
        <f t="shared" si="0"/>
        <v>45045</v>
      </c>
      <c r="N23" s="4"/>
      <c r="O23" s="8" t="s">
        <v>47</v>
      </c>
      <c r="P23" s="17">
        <f t="shared" si="8"/>
        <v>45050</v>
      </c>
      <c r="Q23" s="4"/>
      <c r="R23" s="19">
        <f t="shared" si="9"/>
        <v>45052</v>
      </c>
      <c r="S23" s="20"/>
      <c r="T23" s="19">
        <f t="shared" si="7"/>
        <v>45054</v>
      </c>
      <c r="U23" s="4"/>
      <c r="V23" s="4"/>
      <c r="W23" s="17">
        <v>45073</v>
      </c>
      <c r="X23" s="4"/>
      <c r="Y23" s="4"/>
      <c r="Z23" s="17">
        <v>45077</v>
      </c>
      <c r="AA23" s="4"/>
      <c r="AB23" s="4"/>
      <c r="AC23" s="4"/>
      <c r="AD23" s="4"/>
      <c r="AE23" s="4"/>
      <c r="AF23" s="4"/>
    </row>
    <row r="24" spans="1:32" ht="30" hidden="1">
      <c r="A24" s="8">
        <v>21</v>
      </c>
      <c r="B24" s="56"/>
      <c r="C24" s="10" t="s">
        <v>87</v>
      </c>
      <c r="D24" s="8" t="s">
        <v>85</v>
      </c>
      <c r="E24" s="8" t="s">
        <v>42</v>
      </c>
      <c r="G24" s="9">
        <v>45032</v>
      </c>
      <c r="H24" s="13"/>
      <c r="I24" s="4" t="s">
        <v>44</v>
      </c>
      <c r="J24" s="18">
        <v>45044</v>
      </c>
      <c r="K24" s="58"/>
      <c r="L24" s="16" t="s">
        <v>46</v>
      </c>
      <c r="M24" s="17">
        <f t="shared" si="0"/>
        <v>45046</v>
      </c>
      <c r="N24" s="4"/>
      <c r="O24" s="8" t="s">
        <v>47</v>
      </c>
      <c r="P24" s="17">
        <f t="shared" ref="P24:P26" si="10">M24+4</f>
        <v>45050</v>
      </c>
      <c r="Q24" s="4"/>
      <c r="R24" s="19">
        <f t="shared" si="9"/>
        <v>45052</v>
      </c>
      <c r="S24" s="20"/>
      <c r="T24" s="19">
        <f t="shared" si="7"/>
        <v>45054</v>
      </c>
      <c r="U24" s="4"/>
      <c r="V24" s="4"/>
      <c r="W24" s="17">
        <v>45073</v>
      </c>
      <c r="X24" s="4"/>
      <c r="Y24" s="4"/>
      <c r="Z24" s="17">
        <v>45077</v>
      </c>
      <c r="AA24" s="4"/>
      <c r="AB24" s="4"/>
      <c r="AC24" s="4"/>
      <c r="AD24" s="4"/>
      <c r="AE24" s="4"/>
      <c r="AF24" s="4"/>
    </row>
    <row r="25" spans="1:32" ht="30" hidden="1">
      <c r="A25" s="4">
        <v>22</v>
      </c>
      <c r="B25" s="56"/>
      <c r="C25" s="10" t="s">
        <v>88</v>
      </c>
      <c r="D25" s="8" t="s">
        <v>85</v>
      </c>
      <c r="E25" s="8" t="s">
        <v>42</v>
      </c>
      <c r="G25" s="9">
        <v>45032</v>
      </c>
      <c r="H25" s="13"/>
      <c r="I25" s="4" t="s">
        <v>44</v>
      </c>
      <c r="J25" s="18">
        <v>45044</v>
      </c>
      <c r="K25" s="58"/>
      <c r="L25" s="16" t="s">
        <v>46</v>
      </c>
      <c r="M25" s="17">
        <f t="shared" si="0"/>
        <v>45046</v>
      </c>
      <c r="N25" s="4"/>
      <c r="O25" s="8" t="s">
        <v>47</v>
      </c>
      <c r="P25" s="17">
        <f t="shared" si="10"/>
        <v>45050</v>
      </c>
      <c r="Q25" s="4"/>
      <c r="R25" s="19">
        <f t="shared" si="9"/>
        <v>45052</v>
      </c>
      <c r="S25" s="20"/>
      <c r="T25" s="19">
        <f t="shared" si="7"/>
        <v>45054</v>
      </c>
      <c r="U25" s="4"/>
      <c r="V25" s="4"/>
      <c r="W25" s="17">
        <v>45073</v>
      </c>
      <c r="X25" s="4"/>
      <c r="Y25" s="4"/>
      <c r="Z25" s="17">
        <v>45077</v>
      </c>
      <c r="AA25" s="4"/>
      <c r="AB25" s="4"/>
      <c r="AC25" s="4"/>
      <c r="AD25" s="4"/>
      <c r="AE25" s="4"/>
      <c r="AF25" s="4"/>
    </row>
    <row r="26" spans="1:32" ht="34" hidden="1">
      <c r="A26" s="8">
        <v>23</v>
      </c>
      <c r="B26" s="56"/>
      <c r="C26" s="10" t="s">
        <v>89</v>
      </c>
      <c r="D26" s="8" t="s">
        <v>85</v>
      </c>
      <c r="E26" s="8" t="s">
        <v>42</v>
      </c>
      <c r="G26" s="9">
        <v>45032</v>
      </c>
      <c r="H26" s="13" t="s">
        <v>90</v>
      </c>
      <c r="I26" s="4" t="s">
        <v>44</v>
      </c>
      <c r="J26" s="18">
        <v>45044</v>
      </c>
      <c r="K26" s="58"/>
      <c r="L26" s="16" t="s">
        <v>46</v>
      </c>
      <c r="M26" s="17">
        <f t="shared" si="0"/>
        <v>45046</v>
      </c>
      <c r="N26" s="4"/>
      <c r="O26" s="8" t="s">
        <v>47</v>
      </c>
      <c r="P26" s="17">
        <f t="shared" si="10"/>
        <v>45050</v>
      </c>
      <c r="Q26" s="4"/>
      <c r="R26" s="19">
        <f t="shared" si="9"/>
        <v>45052</v>
      </c>
      <c r="S26" s="20"/>
      <c r="T26" s="19">
        <f t="shared" si="7"/>
        <v>45054</v>
      </c>
      <c r="U26" s="4"/>
      <c r="V26" s="4"/>
      <c r="W26" s="17">
        <v>45073</v>
      </c>
      <c r="X26" s="4"/>
      <c r="Y26" s="4"/>
      <c r="Z26" s="17">
        <v>45077</v>
      </c>
      <c r="AA26" s="4"/>
      <c r="AB26" s="4"/>
      <c r="AC26" s="4"/>
      <c r="AD26" s="4"/>
      <c r="AE26" s="4"/>
      <c r="AF26" s="4"/>
    </row>
    <row r="27" spans="1:32" ht="30" hidden="1">
      <c r="A27" s="4">
        <v>24</v>
      </c>
      <c r="B27" s="56"/>
      <c r="C27" s="10" t="s">
        <v>91</v>
      </c>
      <c r="D27" s="8" t="s">
        <v>85</v>
      </c>
      <c r="E27" s="8" t="s">
        <v>42</v>
      </c>
      <c r="G27" s="9">
        <v>45032</v>
      </c>
      <c r="H27" s="13"/>
      <c r="I27" s="4" t="s">
        <v>44</v>
      </c>
      <c r="J27" s="17">
        <v>45058</v>
      </c>
      <c r="K27" s="58"/>
      <c r="L27" s="16" t="s">
        <v>46</v>
      </c>
      <c r="M27" s="17">
        <f t="shared" si="0"/>
        <v>45060</v>
      </c>
      <c r="N27" s="4"/>
      <c r="O27" s="8" t="s">
        <v>47</v>
      </c>
      <c r="P27" s="17">
        <f t="shared" ref="P27:P28" si="11">M27+2</f>
        <v>45062</v>
      </c>
      <c r="Q27" s="4"/>
      <c r="R27" s="19">
        <f t="shared" si="9"/>
        <v>45064</v>
      </c>
      <c r="S27" s="20"/>
      <c r="T27" s="19">
        <f t="shared" si="7"/>
        <v>45066</v>
      </c>
      <c r="U27" s="4"/>
      <c r="V27" s="4"/>
      <c r="W27" s="17">
        <v>45073</v>
      </c>
      <c r="X27" s="4"/>
      <c r="Y27" s="4"/>
      <c r="Z27" s="17">
        <v>45077</v>
      </c>
      <c r="AA27" s="4"/>
      <c r="AB27" s="4"/>
      <c r="AC27" s="4"/>
      <c r="AD27" s="4"/>
      <c r="AE27" s="4"/>
      <c r="AF27" s="4"/>
    </row>
    <row r="28" spans="1:32" ht="30" hidden="1">
      <c r="A28" s="8">
        <v>25</v>
      </c>
      <c r="B28" s="56"/>
      <c r="C28" s="10" t="s">
        <v>92</v>
      </c>
      <c r="D28" s="8" t="s">
        <v>85</v>
      </c>
      <c r="E28" s="8" t="s">
        <v>42</v>
      </c>
      <c r="G28" s="9">
        <v>45032</v>
      </c>
      <c r="H28" s="13"/>
      <c r="I28" s="4" t="s">
        <v>44</v>
      </c>
      <c r="J28" s="17">
        <v>45058</v>
      </c>
      <c r="K28" s="58"/>
      <c r="L28" s="16" t="s">
        <v>46</v>
      </c>
      <c r="M28" s="17">
        <f t="shared" si="0"/>
        <v>45060</v>
      </c>
      <c r="N28" s="4"/>
      <c r="O28" s="8" t="s">
        <v>47</v>
      </c>
      <c r="P28" s="17">
        <f t="shared" si="11"/>
        <v>45062</v>
      </c>
      <c r="Q28" s="4"/>
      <c r="R28" s="19">
        <f t="shared" si="9"/>
        <v>45064</v>
      </c>
      <c r="S28" s="20"/>
      <c r="T28" s="19">
        <f t="shared" si="7"/>
        <v>45066</v>
      </c>
      <c r="U28" s="4"/>
      <c r="V28" s="4"/>
      <c r="W28" s="17">
        <v>45073</v>
      </c>
      <c r="X28" s="4"/>
      <c r="Y28" s="4"/>
      <c r="Z28" s="17">
        <v>45077</v>
      </c>
      <c r="AA28" s="4"/>
      <c r="AB28" s="4"/>
      <c r="AC28" s="4"/>
      <c r="AD28" s="4"/>
      <c r="AE28" s="4"/>
      <c r="AF28" s="4"/>
    </row>
    <row r="29" spans="1:32" ht="30" hidden="1">
      <c r="A29" s="4">
        <v>26</v>
      </c>
      <c r="B29" s="55" t="s">
        <v>93</v>
      </c>
      <c r="C29" s="10" t="s">
        <v>94</v>
      </c>
      <c r="D29" s="8" t="s">
        <v>74</v>
      </c>
      <c r="E29" s="8" t="s">
        <v>42</v>
      </c>
      <c r="F29" s="8"/>
      <c r="G29" s="9">
        <v>45032</v>
      </c>
      <c r="H29" s="13"/>
      <c r="I29" s="4" t="s">
        <v>44</v>
      </c>
      <c r="J29" s="18">
        <v>45044</v>
      </c>
      <c r="K29" s="58" t="s">
        <v>95</v>
      </c>
      <c r="L29" s="16" t="s">
        <v>46</v>
      </c>
      <c r="M29" s="17">
        <f t="shared" si="0"/>
        <v>45046</v>
      </c>
      <c r="N29" s="4"/>
      <c r="O29" s="8" t="s">
        <v>47</v>
      </c>
      <c r="P29" s="17">
        <f t="shared" ref="P29:P30" si="12">M29+4</f>
        <v>45050</v>
      </c>
      <c r="Q29" s="4"/>
      <c r="R29" s="19">
        <f t="shared" si="9"/>
        <v>45052</v>
      </c>
      <c r="S29" s="20"/>
      <c r="T29" s="19">
        <f t="shared" si="7"/>
        <v>45054</v>
      </c>
      <c r="U29" s="4"/>
      <c r="V29" s="4"/>
      <c r="W29" s="17">
        <v>45073</v>
      </c>
      <c r="X29" s="4"/>
      <c r="Y29" s="4"/>
      <c r="Z29" s="17">
        <v>45077</v>
      </c>
      <c r="AA29" s="4"/>
      <c r="AB29" s="4"/>
      <c r="AC29" s="4"/>
      <c r="AD29" s="4"/>
      <c r="AE29" s="4"/>
      <c r="AF29" s="4"/>
    </row>
    <row r="30" spans="1:32" ht="30" hidden="1">
      <c r="A30" s="8">
        <v>27</v>
      </c>
      <c r="B30" s="55"/>
      <c r="C30" s="10" t="s">
        <v>96</v>
      </c>
      <c r="D30" s="8" t="s">
        <v>74</v>
      </c>
      <c r="E30" s="8" t="s">
        <v>42</v>
      </c>
      <c r="F30" s="8"/>
      <c r="G30" s="9">
        <v>45032</v>
      </c>
      <c r="H30" s="13"/>
      <c r="I30" s="4" t="s">
        <v>44</v>
      </c>
      <c r="J30" s="18">
        <v>45044</v>
      </c>
      <c r="K30" s="58"/>
      <c r="L30" s="16" t="s">
        <v>46</v>
      </c>
      <c r="M30" s="17">
        <f t="shared" si="0"/>
        <v>45046</v>
      </c>
      <c r="N30" s="4"/>
      <c r="O30" s="8" t="s">
        <v>47</v>
      </c>
      <c r="P30" s="17">
        <f t="shared" si="12"/>
        <v>45050</v>
      </c>
      <c r="Q30" s="4"/>
      <c r="R30" s="19">
        <f t="shared" si="9"/>
        <v>45052</v>
      </c>
      <c r="S30" s="20"/>
      <c r="T30" s="19">
        <f t="shared" si="7"/>
        <v>45054</v>
      </c>
      <c r="U30" s="4"/>
      <c r="V30" s="4"/>
      <c r="W30" s="17">
        <v>45073</v>
      </c>
      <c r="X30" s="4"/>
      <c r="Y30" s="4"/>
      <c r="Z30" s="17">
        <v>45077</v>
      </c>
      <c r="AA30" s="4"/>
      <c r="AB30" s="4"/>
      <c r="AC30" s="4"/>
      <c r="AD30" s="4"/>
      <c r="AE30" s="4"/>
      <c r="AF30" s="4"/>
    </row>
    <row r="31" spans="1:32" ht="34" hidden="1">
      <c r="A31" s="4">
        <v>28</v>
      </c>
      <c r="B31" s="55"/>
      <c r="C31" s="10" t="s">
        <v>97</v>
      </c>
      <c r="D31" s="8" t="s">
        <v>74</v>
      </c>
      <c r="E31" s="8" t="s">
        <v>42</v>
      </c>
      <c r="F31" s="8"/>
      <c r="G31" s="9">
        <v>45032</v>
      </c>
      <c r="H31" s="13" t="s">
        <v>75</v>
      </c>
      <c r="I31" s="4" t="s">
        <v>44</v>
      </c>
      <c r="J31" s="17">
        <v>45052</v>
      </c>
      <c r="K31" s="58"/>
      <c r="L31" s="16" t="s">
        <v>46</v>
      </c>
      <c r="M31" s="17">
        <f t="shared" si="0"/>
        <v>45054</v>
      </c>
      <c r="N31" s="4"/>
      <c r="O31" s="8" t="s">
        <v>47</v>
      </c>
      <c r="P31" s="17">
        <f>M31+2</f>
        <v>45056</v>
      </c>
      <c r="Q31" s="4"/>
      <c r="R31" s="19">
        <f t="shared" si="9"/>
        <v>45058</v>
      </c>
      <c r="S31" s="20"/>
      <c r="T31" s="19">
        <f>R31+4</f>
        <v>45062</v>
      </c>
      <c r="U31" s="4"/>
      <c r="V31" s="4"/>
      <c r="W31" s="17">
        <v>45073</v>
      </c>
      <c r="X31" s="4"/>
      <c r="Y31" s="4"/>
      <c r="Z31" s="17">
        <v>45077</v>
      </c>
      <c r="AA31" s="4"/>
      <c r="AB31" s="4"/>
      <c r="AC31" s="4"/>
      <c r="AD31" s="4"/>
      <c r="AE31" s="4"/>
      <c r="AF31" s="4"/>
    </row>
    <row r="32" spans="1:32" ht="30" hidden="1">
      <c r="A32" s="8">
        <v>29</v>
      </c>
      <c r="B32" s="55"/>
      <c r="C32" s="8" t="s">
        <v>98</v>
      </c>
      <c r="D32" s="8" t="s">
        <v>74</v>
      </c>
      <c r="E32" s="8" t="s">
        <v>42</v>
      </c>
      <c r="F32" s="8"/>
      <c r="G32" s="9">
        <v>45032</v>
      </c>
      <c r="H32" s="13"/>
      <c r="I32" s="4" t="s">
        <v>44</v>
      </c>
      <c r="J32" s="9">
        <v>45058</v>
      </c>
      <c r="K32" s="58"/>
      <c r="L32" s="16" t="s">
        <v>46</v>
      </c>
      <c r="M32" s="17">
        <f t="shared" si="0"/>
        <v>45060</v>
      </c>
      <c r="N32" s="8"/>
      <c r="O32" s="8" t="s">
        <v>47</v>
      </c>
      <c r="P32" s="17">
        <f t="shared" ref="P32:P35" si="13">M32+3</f>
        <v>45063</v>
      </c>
      <c r="Q32" s="4"/>
      <c r="R32" s="19">
        <f t="shared" si="9"/>
        <v>45065</v>
      </c>
      <c r="S32" s="20"/>
      <c r="T32" s="19">
        <f t="shared" ref="T32:T44" si="14">R32+2</f>
        <v>45067</v>
      </c>
      <c r="U32" s="8"/>
      <c r="V32" s="8"/>
      <c r="W32" s="17">
        <v>45073</v>
      </c>
      <c r="X32" s="8"/>
      <c r="Y32" s="21"/>
      <c r="Z32" s="17">
        <v>45077</v>
      </c>
      <c r="AA32" s="8"/>
      <c r="AB32" s="21"/>
      <c r="AC32" s="8"/>
      <c r="AD32" s="8"/>
      <c r="AE32" s="8"/>
      <c r="AF32" s="8"/>
    </row>
    <row r="33" spans="1:32" ht="34" hidden="1">
      <c r="A33" s="4">
        <v>30</v>
      </c>
      <c r="B33" s="55"/>
      <c r="C33" s="8" t="s">
        <v>99</v>
      </c>
      <c r="D33" s="8" t="s">
        <v>74</v>
      </c>
      <c r="E33" s="8" t="s">
        <v>42</v>
      </c>
      <c r="F33" s="8"/>
      <c r="G33" s="9">
        <v>45032</v>
      </c>
      <c r="H33" s="13" t="s">
        <v>75</v>
      </c>
      <c r="I33" s="4" t="s">
        <v>44</v>
      </c>
      <c r="J33" s="9">
        <v>45058</v>
      </c>
      <c r="K33" s="58"/>
      <c r="L33" s="16" t="s">
        <v>46</v>
      </c>
      <c r="M33" s="17">
        <f t="shared" si="0"/>
        <v>45060</v>
      </c>
      <c r="N33" s="8"/>
      <c r="O33" s="8" t="s">
        <v>47</v>
      </c>
      <c r="P33" s="17">
        <f t="shared" si="13"/>
        <v>45063</v>
      </c>
      <c r="Q33" s="4"/>
      <c r="R33" s="19">
        <f t="shared" si="9"/>
        <v>45065</v>
      </c>
      <c r="S33" s="20"/>
      <c r="T33" s="19">
        <f t="shared" si="14"/>
        <v>45067</v>
      </c>
      <c r="U33" s="8"/>
      <c r="V33" s="8"/>
      <c r="W33" s="17">
        <v>45073</v>
      </c>
      <c r="X33" s="8"/>
      <c r="Y33" s="21"/>
      <c r="Z33" s="17">
        <v>45077</v>
      </c>
      <c r="AA33" s="8"/>
      <c r="AB33" s="21"/>
      <c r="AC33" s="8"/>
      <c r="AD33" s="8"/>
      <c r="AE33" s="8"/>
      <c r="AF33" s="8"/>
    </row>
    <row r="34" spans="1:32" ht="30" hidden="1">
      <c r="A34" s="8">
        <v>31</v>
      </c>
      <c r="B34" s="55"/>
      <c r="C34" s="8" t="s">
        <v>100</v>
      </c>
      <c r="D34" s="8" t="s">
        <v>74</v>
      </c>
      <c r="E34" s="8" t="s">
        <v>42</v>
      </c>
      <c r="F34" s="8"/>
      <c r="G34" s="9">
        <v>45032</v>
      </c>
      <c r="H34" s="13"/>
      <c r="I34" s="4" t="s">
        <v>44</v>
      </c>
      <c r="J34" s="9">
        <v>45058</v>
      </c>
      <c r="K34" s="58"/>
      <c r="L34" s="16" t="s">
        <v>46</v>
      </c>
      <c r="M34" s="17">
        <f t="shared" si="0"/>
        <v>45060</v>
      </c>
      <c r="N34" s="8"/>
      <c r="O34" s="8" t="s">
        <v>47</v>
      </c>
      <c r="P34" s="17">
        <f t="shared" si="13"/>
        <v>45063</v>
      </c>
      <c r="Q34" s="4"/>
      <c r="R34" s="19">
        <f t="shared" si="9"/>
        <v>45065</v>
      </c>
      <c r="S34" s="20"/>
      <c r="T34" s="19">
        <f t="shared" si="14"/>
        <v>45067</v>
      </c>
      <c r="U34" s="8"/>
      <c r="V34" s="8"/>
      <c r="W34" s="17">
        <v>45073</v>
      </c>
      <c r="X34" s="8"/>
      <c r="Y34" s="21"/>
      <c r="Z34" s="17">
        <v>45077</v>
      </c>
      <c r="AA34" s="8"/>
      <c r="AB34" s="21"/>
      <c r="AC34" s="8"/>
      <c r="AD34" s="8"/>
      <c r="AE34" s="8"/>
      <c r="AF34" s="8"/>
    </row>
    <row r="35" spans="1:32" ht="34" hidden="1">
      <c r="A35" s="4">
        <v>32</v>
      </c>
      <c r="B35" s="55"/>
      <c r="C35" s="8" t="s">
        <v>82</v>
      </c>
      <c r="D35" s="8" t="s">
        <v>74</v>
      </c>
      <c r="E35" s="8" t="s">
        <v>42</v>
      </c>
      <c r="F35" s="8"/>
      <c r="G35" s="9">
        <v>45032</v>
      </c>
      <c r="H35" s="13" t="s">
        <v>75</v>
      </c>
      <c r="I35" s="4" t="s">
        <v>44</v>
      </c>
      <c r="J35" s="9">
        <v>45058</v>
      </c>
      <c r="K35" s="58"/>
      <c r="L35" s="16" t="s">
        <v>46</v>
      </c>
      <c r="M35" s="17">
        <f t="shared" si="0"/>
        <v>45060</v>
      </c>
      <c r="N35" s="8"/>
      <c r="O35" s="8" t="s">
        <v>47</v>
      </c>
      <c r="P35" s="17">
        <f t="shared" si="13"/>
        <v>45063</v>
      </c>
      <c r="Q35" s="4"/>
      <c r="R35" s="19">
        <f t="shared" si="9"/>
        <v>45065</v>
      </c>
      <c r="S35" s="20"/>
      <c r="T35" s="19">
        <f t="shared" si="14"/>
        <v>45067</v>
      </c>
      <c r="U35" s="8"/>
      <c r="V35" s="8"/>
      <c r="W35" s="17">
        <v>45073</v>
      </c>
      <c r="X35" s="8"/>
      <c r="Y35" s="21"/>
      <c r="Z35" s="17">
        <v>45077</v>
      </c>
      <c r="AA35" s="8"/>
      <c r="AB35" s="21"/>
      <c r="AC35" s="8"/>
      <c r="AD35" s="8"/>
      <c r="AE35" s="8"/>
      <c r="AF35" s="8"/>
    </row>
    <row r="36" spans="1:32" ht="30" hidden="1">
      <c r="A36" s="8">
        <v>33</v>
      </c>
      <c r="B36" s="55" t="s">
        <v>101</v>
      </c>
      <c r="C36" s="8" t="s">
        <v>102</v>
      </c>
      <c r="D36" s="8" t="s">
        <v>103</v>
      </c>
      <c r="E36" s="8" t="s">
        <v>42</v>
      </c>
      <c r="F36" s="8"/>
      <c r="G36" s="9">
        <v>45038</v>
      </c>
      <c r="H36" s="13"/>
      <c r="I36" s="4" t="s">
        <v>44</v>
      </c>
      <c r="J36" s="17">
        <v>45052</v>
      </c>
      <c r="K36" s="58" t="s">
        <v>104</v>
      </c>
      <c r="L36" s="16" t="s">
        <v>46</v>
      </c>
      <c r="M36" s="17">
        <f t="shared" si="0"/>
        <v>45054</v>
      </c>
      <c r="N36" s="8"/>
      <c r="O36" s="8" t="s">
        <v>47</v>
      </c>
      <c r="P36" s="17">
        <f t="shared" ref="P36:P38" si="15">M36+2</f>
        <v>45056</v>
      </c>
      <c r="Q36" s="4"/>
      <c r="R36" s="19">
        <f t="shared" si="9"/>
        <v>45058</v>
      </c>
      <c r="S36" s="20"/>
      <c r="T36" s="19">
        <f t="shared" si="14"/>
        <v>45060</v>
      </c>
      <c r="U36" s="8"/>
      <c r="V36" s="8"/>
      <c r="W36" s="17">
        <v>45073</v>
      </c>
      <c r="X36" s="8"/>
      <c r="Y36" s="21"/>
      <c r="Z36" s="17">
        <v>45077</v>
      </c>
      <c r="AA36" s="8"/>
      <c r="AB36" s="21"/>
      <c r="AC36" s="8"/>
      <c r="AD36" s="8"/>
      <c r="AE36" s="8"/>
      <c r="AF36" s="8"/>
    </row>
    <row r="37" spans="1:32" ht="34" hidden="1">
      <c r="A37" s="4">
        <v>34</v>
      </c>
      <c r="B37" s="55"/>
      <c r="C37" s="8" t="s">
        <v>105</v>
      </c>
      <c r="D37" s="8" t="s">
        <v>103</v>
      </c>
      <c r="E37" s="8" t="s">
        <v>42</v>
      </c>
      <c r="F37" s="8"/>
      <c r="G37" s="9">
        <v>45038</v>
      </c>
      <c r="H37" s="13" t="s">
        <v>106</v>
      </c>
      <c r="I37" s="4" t="s">
        <v>44</v>
      </c>
      <c r="J37" s="17">
        <v>45054</v>
      </c>
      <c r="K37" s="58"/>
      <c r="L37" s="16" t="s">
        <v>46</v>
      </c>
      <c r="M37" s="17">
        <f t="shared" si="0"/>
        <v>45056</v>
      </c>
      <c r="N37" s="8"/>
      <c r="O37" s="8" t="s">
        <v>47</v>
      </c>
      <c r="P37" s="17">
        <f t="shared" si="15"/>
        <v>45058</v>
      </c>
      <c r="Q37" s="4"/>
      <c r="R37" s="19">
        <f>P37+3</f>
        <v>45061</v>
      </c>
      <c r="S37" s="20"/>
      <c r="T37" s="19">
        <f t="shared" si="14"/>
        <v>45063</v>
      </c>
      <c r="U37" s="8"/>
      <c r="V37" s="8"/>
      <c r="W37" s="17">
        <v>45073</v>
      </c>
      <c r="X37" s="8"/>
      <c r="Y37" s="21"/>
      <c r="Z37" s="17">
        <v>45077</v>
      </c>
      <c r="AA37" s="8"/>
      <c r="AB37" s="21"/>
      <c r="AC37" s="8"/>
      <c r="AD37" s="8"/>
      <c r="AE37" s="8"/>
      <c r="AF37" s="8"/>
    </row>
    <row r="38" spans="1:32" ht="34" hidden="1">
      <c r="A38" s="8">
        <v>35</v>
      </c>
      <c r="B38" s="55"/>
      <c r="C38" s="8" t="s">
        <v>107</v>
      </c>
      <c r="D38" s="8" t="s">
        <v>103</v>
      </c>
      <c r="E38" s="8" t="s">
        <v>42</v>
      </c>
      <c r="F38" s="8"/>
      <c r="G38" s="9">
        <v>45038</v>
      </c>
      <c r="H38" s="13" t="s">
        <v>106</v>
      </c>
      <c r="I38" s="4" t="s">
        <v>44</v>
      </c>
      <c r="J38" s="9">
        <v>45055</v>
      </c>
      <c r="K38" s="15" t="s">
        <v>108</v>
      </c>
      <c r="L38" s="16" t="s">
        <v>46</v>
      </c>
      <c r="M38" s="17">
        <f t="shared" si="0"/>
        <v>45057</v>
      </c>
      <c r="N38" s="8"/>
      <c r="O38" s="8" t="s">
        <v>47</v>
      </c>
      <c r="P38" s="17">
        <f t="shared" si="15"/>
        <v>45059</v>
      </c>
      <c r="Q38" s="4"/>
      <c r="R38" s="19">
        <f t="shared" ref="R38:R42" si="16">P38+2</f>
        <v>45061</v>
      </c>
      <c r="S38" s="20"/>
      <c r="T38" s="19">
        <f t="shared" si="14"/>
        <v>45063</v>
      </c>
      <c r="U38" s="8"/>
      <c r="V38" s="8"/>
      <c r="W38" s="17">
        <v>45073</v>
      </c>
      <c r="X38" s="8"/>
      <c r="Y38" s="21"/>
      <c r="Z38" s="17">
        <v>45077</v>
      </c>
      <c r="AA38" s="8"/>
      <c r="AB38" s="21"/>
      <c r="AC38" s="8"/>
      <c r="AD38" s="8"/>
      <c r="AE38" s="8"/>
      <c r="AF38" s="8"/>
    </row>
    <row r="39" spans="1:32" ht="34" hidden="1">
      <c r="A39" s="4">
        <v>36</v>
      </c>
      <c r="B39" s="55"/>
      <c r="C39" s="8" t="s">
        <v>109</v>
      </c>
      <c r="D39" s="8" t="s">
        <v>103</v>
      </c>
      <c r="E39" s="8" t="s">
        <v>42</v>
      </c>
      <c r="F39" s="8"/>
      <c r="G39" s="9">
        <v>45038</v>
      </c>
      <c r="H39" s="13" t="s">
        <v>106</v>
      </c>
      <c r="I39" s="4" t="s">
        <v>44</v>
      </c>
      <c r="J39" s="9">
        <v>45056</v>
      </c>
      <c r="K39" s="15" t="s">
        <v>108</v>
      </c>
      <c r="L39" s="16" t="s">
        <v>46</v>
      </c>
      <c r="M39" s="17">
        <f t="shared" si="0"/>
        <v>45058</v>
      </c>
      <c r="N39" s="8"/>
      <c r="O39" s="8" t="s">
        <v>47</v>
      </c>
      <c r="P39" s="17">
        <f>M39+3</f>
        <v>45061</v>
      </c>
      <c r="Q39" s="4"/>
      <c r="R39" s="19">
        <f t="shared" si="16"/>
        <v>45063</v>
      </c>
      <c r="S39" s="20"/>
      <c r="T39" s="19">
        <f t="shared" si="14"/>
        <v>45065</v>
      </c>
      <c r="U39" s="8"/>
      <c r="V39" s="8"/>
      <c r="W39" s="17">
        <v>45073</v>
      </c>
      <c r="X39" s="8"/>
      <c r="Y39" s="21"/>
      <c r="Z39" s="17">
        <v>45077</v>
      </c>
      <c r="AA39" s="8"/>
      <c r="AB39" s="21"/>
      <c r="AC39" s="8"/>
      <c r="AD39" s="8"/>
      <c r="AE39" s="8"/>
      <c r="AF39" s="8"/>
    </row>
    <row r="40" spans="1:32" ht="34" hidden="1">
      <c r="A40" s="8">
        <v>37</v>
      </c>
      <c r="B40" s="55"/>
      <c r="C40" s="8" t="s">
        <v>110</v>
      </c>
      <c r="D40" s="8" t="s">
        <v>103</v>
      </c>
      <c r="E40" s="8" t="s">
        <v>42</v>
      </c>
      <c r="F40" s="8"/>
      <c r="G40" s="9">
        <v>45038</v>
      </c>
      <c r="H40" s="13" t="s">
        <v>106</v>
      </c>
      <c r="I40" s="4" t="s">
        <v>44</v>
      </c>
      <c r="J40" s="9">
        <v>45057</v>
      </c>
      <c r="K40" s="15" t="s">
        <v>108</v>
      </c>
      <c r="L40" s="16" t="s">
        <v>46</v>
      </c>
      <c r="M40" s="17">
        <f t="shared" si="0"/>
        <v>45059</v>
      </c>
      <c r="N40" s="8"/>
      <c r="O40" s="8" t="s">
        <v>47</v>
      </c>
      <c r="P40" s="17">
        <f t="shared" ref="P40:P43" si="17">M40+2</f>
        <v>45061</v>
      </c>
      <c r="Q40" s="4"/>
      <c r="R40" s="19">
        <f t="shared" si="16"/>
        <v>45063</v>
      </c>
      <c r="S40" s="20"/>
      <c r="T40" s="19">
        <f t="shared" si="14"/>
        <v>45065</v>
      </c>
      <c r="U40" s="8"/>
      <c r="V40" s="8"/>
      <c r="W40" s="17">
        <v>45073</v>
      </c>
      <c r="X40" s="8"/>
      <c r="Y40" s="21"/>
      <c r="Z40" s="17">
        <v>45077</v>
      </c>
      <c r="AA40" s="8"/>
      <c r="AB40" s="21"/>
      <c r="AC40" s="8"/>
      <c r="AD40" s="8"/>
      <c r="AE40" s="8"/>
      <c r="AF40" s="8"/>
    </row>
    <row r="41" spans="1:32" ht="30" hidden="1">
      <c r="A41" s="4">
        <v>38</v>
      </c>
      <c r="B41" s="55"/>
      <c r="C41" s="8" t="s">
        <v>111</v>
      </c>
      <c r="D41" s="8" t="s">
        <v>103</v>
      </c>
      <c r="E41" s="8" t="s">
        <v>42</v>
      </c>
      <c r="F41" s="8"/>
      <c r="G41" s="9">
        <v>45038</v>
      </c>
      <c r="H41" s="13"/>
      <c r="I41" s="4" t="s">
        <v>44</v>
      </c>
      <c r="J41" s="9">
        <v>45058</v>
      </c>
      <c r="K41" s="15" t="s">
        <v>112</v>
      </c>
      <c r="L41" s="16" t="s">
        <v>46</v>
      </c>
      <c r="M41" s="17">
        <f t="shared" si="0"/>
        <v>45060</v>
      </c>
      <c r="N41" s="8"/>
      <c r="O41" s="8" t="s">
        <v>47</v>
      </c>
      <c r="P41" s="17">
        <f t="shared" si="17"/>
        <v>45062</v>
      </c>
      <c r="Q41" s="4"/>
      <c r="R41" s="19">
        <f t="shared" si="16"/>
        <v>45064</v>
      </c>
      <c r="S41" s="20"/>
      <c r="T41" s="19">
        <f t="shared" si="14"/>
        <v>45066</v>
      </c>
      <c r="U41" s="8"/>
      <c r="V41" s="8"/>
      <c r="W41" s="17">
        <v>45073</v>
      </c>
      <c r="X41" s="8"/>
      <c r="Y41" s="21"/>
      <c r="Z41" s="17">
        <v>45077</v>
      </c>
      <c r="AA41" s="8"/>
      <c r="AB41" s="21"/>
      <c r="AC41" s="8"/>
      <c r="AD41" s="8"/>
      <c r="AE41" s="8"/>
      <c r="AF41" s="8"/>
    </row>
    <row r="42" spans="1:32" ht="30" hidden="1">
      <c r="A42" s="8">
        <v>39</v>
      </c>
      <c r="B42" s="55" t="s">
        <v>113</v>
      </c>
      <c r="C42" s="8" t="s">
        <v>114</v>
      </c>
      <c r="D42" s="8" t="s">
        <v>41</v>
      </c>
      <c r="E42" s="8" t="s">
        <v>42</v>
      </c>
      <c r="F42" s="8"/>
      <c r="G42" s="9">
        <v>45041</v>
      </c>
      <c r="H42" s="13"/>
      <c r="I42" s="4" t="s">
        <v>44</v>
      </c>
      <c r="J42" s="9">
        <v>45060</v>
      </c>
      <c r="K42" s="58" t="s">
        <v>115</v>
      </c>
      <c r="L42" s="16" t="s">
        <v>46</v>
      </c>
      <c r="M42" s="17">
        <f t="shared" si="0"/>
        <v>45062</v>
      </c>
      <c r="N42" s="8"/>
      <c r="O42" s="8" t="s">
        <v>47</v>
      </c>
      <c r="P42" s="17">
        <f t="shared" si="17"/>
        <v>45064</v>
      </c>
      <c r="Q42" s="4"/>
      <c r="R42" s="19">
        <f t="shared" si="16"/>
        <v>45066</v>
      </c>
      <c r="S42" s="20"/>
      <c r="T42" s="19">
        <f t="shared" si="14"/>
        <v>45068</v>
      </c>
      <c r="U42" s="8"/>
      <c r="V42" s="8"/>
      <c r="W42" s="17">
        <v>45073</v>
      </c>
      <c r="X42" s="8"/>
      <c r="Y42" s="21"/>
      <c r="Z42" s="17">
        <v>45077</v>
      </c>
      <c r="AA42" s="8"/>
      <c r="AB42" s="21"/>
      <c r="AC42" s="8"/>
      <c r="AD42" s="8"/>
      <c r="AE42" s="8"/>
      <c r="AF42" s="8"/>
    </row>
    <row r="43" spans="1:32" ht="30" hidden="1">
      <c r="A43" s="4">
        <v>40</v>
      </c>
      <c r="B43" s="55"/>
      <c r="C43" s="8" t="s">
        <v>116</v>
      </c>
      <c r="D43" s="8" t="s">
        <v>41</v>
      </c>
      <c r="E43" s="8" t="s">
        <v>42</v>
      </c>
      <c r="F43" s="8"/>
      <c r="G43" s="9">
        <v>45041</v>
      </c>
      <c r="H43" s="13"/>
      <c r="I43" s="4" t="s">
        <v>44</v>
      </c>
      <c r="J43" s="9">
        <v>45061</v>
      </c>
      <c r="K43" s="58"/>
      <c r="L43" s="16" t="s">
        <v>46</v>
      </c>
      <c r="M43" s="17">
        <f t="shared" si="0"/>
        <v>45063</v>
      </c>
      <c r="N43" s="8"/>
      <c r="O43" s="8" t="s">
        <v>47</v>
      </c>
      <c r="P43" s="17">
        <f t="shared" si="17"/>
        <v>45065</v>
      </c>
      <c r="Q43" s="4"/>
      <c r="R43" s="19">
        <f t="shared" ref="R43:R44" si="18">P43+3</f>
        <v>45068</v>
      </c>
      <c r="S43" s="20"/>
      <c r="T43" s="19">
        <f t="shared" si="14"/>
        <v>45070</v>
      </c>
      <c r="U43" s="8"/>
      <c r="V43" s="8"/>
      <c r="W43" s="17">
        <v>45073</v>
      </c>
      <c r="X43" s="8"/>
      <c r="Y43" s="21"/>
      <c r="Z43" s="17">
        <v>45077</v>
      </c>
      <c r="AA43" s="8"/>
      <c r="AB43" s="21"/>
      <c r="AC43" s="8"/>
      <c r="AD43" s="8"/>
      <c r="AE43" s="8"/>
      <c r="AF43" s="8"/>
    </row>
    <row r="44" spans="1:32" ht="30" hidden="1">
      <c r="A44" s="8">
        <v>41</v>
      </c>
      <c r="B44" s="55"/>
      <c r="C44" s="8" t="s">
        <v>117</v>
      </c>
      <c r="D44" s="8" t="s">
        <v>41</v>
      </c>
      <c r="E44" s="8" t="s">
        <v>42</v>
      </c>
      <c r="F44" s="8"/>
      <c r="G44" s="9">
        <v>45041</v>
      </c>
      <c r="H44" s="13"/>
      <c r="I44" s="4" t="s">
        <v>44</v>
      </c>
      <c r="J44" s="9">
        <v>45062</v>
      </c>
      <c r="K44" s="58"/>
      <c r="L44" s="16" t="s">
        <v>46</v>
      </c>
      <c r="M44" s="17">
        <f t="shared" si="0"/>
        <v>45064</v>
      </c>
      <c r="N44" s="8"/>
      <c r="O44" s="8" t="s">
        <v>47</v>
      </c>
      <c r="P44" s="17">
        <f>M44+1</f>
        <v>45065</v>
      </c>
      <c r="Q44" s="4"/>
      <c r="R44" s="19">
        <f t="shared" si="18"/>
        <v>45068</v>
      </c>
      <c r="S44" s="20"/>
      <c r="T44" s="19">
        <f t="shared" si="14"/>
        <v>45070</v>
      </c>
      <c r="U44" s="8"/>
      <c r="V44" s="8"/>
      <c r="W44" s="17">
        <v>45073</v>
      </c>
      <c r="X44" s="8"/>
      <c r="Y44" s="21"/>
      <c r="Z44" s="17">
        <v>45077</v>
      </c>
      <c r="AA44" s="8"/>
      <c r="AB44" s="21"/>
      <c r="AC44" s="8"/>
      <c r="AD44" s="8"/>
      <c r="AE44" s="8"/>
      <c r="AF44" s="8"/>
    </row>
    <row r="45" spans="1:32" ht="34" hidden="1">
      <c r="A45" s="4">
        <v>42</v>
      </c>
      <c r="B45" s="55"/>
      <c r="C45" s="8" t="s">
        <v>82</v>
      </c>
      <c r="D45" s="8" t="s">
        <v>41</v>
      </c>
      <c r="E45" s="8" t="s">
        <v>42</v>
      </c>
      <c r="F45" s="8"/>
      <c r="G45" s="9">
        <v>45041</v>
      </c>
      <c r="H45" s="13" t="s">
        <v>75</v>
      </c>
      <c r="I45" s="4" t="s">
        <v>44</v>
      </c>
      <c r="J45" s="9">
        <v>45063</v>
      </c>
      <c r="K45" s="58"/>
      <c r="L45" s="16" t="s">
        <v>46</v>
      </c>
      <c r="M45" s="17">
        <f t="shared" si="0"/>
        <v>45065</v>
      </c>
      <c r="N45" s="8"/>
      <c r="O45" s="8" t="s">
        <v>47</v>
      </c>
      <c r="P45" s="17">
        <f>M45+3</f>
        <v>45068</v>
      </c>
      <c r="Q45" s="4"/>
      <c r="R45" s="19">
        <f>P45+2</f>
        <v>45070</v>
      </c>
      <c r="S45" s="20"/>
      <c r="T45" s="19">
        <f>R45+1</f>
        <v>45071</v>
      </c>
      <c r="U45" s="8"/>
      <c r="V45" s="8"/>
      <c r="W45" s="17">
        <v>45073</v>
      </c>
      <c r="X45" s="8"/>
      <c r="Y45" s="21"/>
      <c r="Z45" s="17">
        <v>45077</v>
      </c>
      <c r="AA45" s="8"/>
      <c r="AB45" s="21"/>
      <c r="AC45" s="8"/>
      <c r="AD45" s="8"/>
      <c r="AE45" s="8"/>
      <c r="AF45" s="8"/>
    </row>
    <row r="46" spans="1:32" ht="30" hidden="1">
      <c r="A46" s="8">
        <v>43</v>
      </c>
      <c r="B46" s="55"/>
      <c r="C46" s="8" t="s">
        <v>118</v>
      </c>
      <c r="D46" s="8" t="s">
        <v>41</v>
      </c>
      <c r="E46" s="8" t="s">
        <v>42</v>
      </c>
      <c r="F46" s="8"/>
      <c r="G46" s="9">
        <v>45041</v>
      </c>
      <c r="H46" s="13"/>
      <c r="I46" s="4" t="s">
        <v>44</v>
      </c>
      <c r="J46" s="9">
        <v>45064</v>
      </c>
      <c r="K46" s="58"/>
      <c r="L46" s="16" t="s">
        <v>46</v>
      </c>
      <c r="M46" s="17">
        <f t="shared" si="0"/>
        <v>45066</v>
      </c>
      <c r="N46" s="8"/>
      <c r="O46" s="8" t="s">
        <v>47</v>
      </c>
      <c r="P46" s="17">
        <f>M46+2</f>
        <v>45068</v>
      </c>
      <c r="Q46" s="4"/>
      <c r="R46" s="19">
        <f>P46+2</f>
        <v>45070</v>
      </c>
      <c r="S46" s="20"/>
      <c r="T46" s="19">
        <f>R46+1</f>
        <v>45071</v>
      </c>
      <c r="U46" s="8"/>
      <c r="V46" s="8"/>
      <c r="W46" s="17">
        <v>45073</v>
      </c>
      <c r="X46" s="8"/>
      <c r="Y46" s="21"/>
      <c r="Z46" s="17">
        <v>45077</v>
      </c>
      <c r="AA46" s="8"/>
      <c r="AB46" s="21"/>
      <c r="AC46" s="8"/>
      <c r="AD46" s="8"/>
      <c r="AE46" s="8"/>
      <c r="AF46" s="8"/>
    </row>
    <row r="47" spans="1:32" ht="34" hidden="1">
      <c r="A47" s="4">
        <v>44</v>
      </c>
      <c r="B47" s="55"/>
      <c r="C47" s="8" t="s">
        <v>119</v>
      </c>
      <c r="D47" s="8" t="s">
        <v>41</v>
      </c>
      <c r="E47" s="8" t="s">
        <v>42</v>
      </c>
      <c r="F47" s="8"/>
      <c r="G47" s="9">
        <v>45041</v>
      </c>
      <c r="H47" s="13" t="s">
        <v>75</v>
      </c>
      <c r="I47" s="4" t="s">
        <v>44</v>
      </c>
      <c r="J47" s="9">
        <v>45065</v>
      </c>
      <c r="K47" s="58"/>
      <c r="L47" s="16" t="s">
        <v>46</v>
      </c>
      <c r="M47" s="17">
        <f t="shared" si="0"/>
        <v>45067</v>
      </c>
      <c r="N47" s="8"/>
      <c r="O47" s="8" t="s">
        <v>47</v>
      </c>
      <c r="P47" s="17">
        <v>45069</v>
      </c>
      <c r="Q47" s="8"/>
      <c r="R47" s="17">
        <v>45070</v>
      </c>
      <c r="S47" s="8"/>
      <c r="T47" s="17">
        <v>45071</v>
      </c>
      <c r="U47" s="8"/>
      <c r="V47" s="8"/>
      <c r="W47" s="17">
        <v>45073</v>
      </c>
      <c r="X47" s="8"/>
      <c r="Y47" s="21"/>
      <c r="Z47" s="17">
        <v>45077</v>
      </c>
      <c r="AA47" s="8"/>
      <c r="AB47" s="21"/>
      <c r="AC47" s="8"/>
      <c r="AD47" s="8"/>
      <c r="AE47" s="8"/>
      <c r="AF47" s="8"/>
    </row>
    <row r="48" spans="1:32" ht="34" hidden="1">
      <c r="A48" s="8">
        <v>45</v>
      </c>
      <c r="B48" s="55" t="s">
        <v>120</v>
      </c>
      <c r="C48" s="8" t="s">
        <v>121</v>
      </c>
      <c r="D48" s="8" t="s">
        <v>74</v>
      </c>
      <c r="E48" s="8" t="s">
        <v>42</v>
      </c>
      <c r="F48" s="8"/>
      <c r="G48" s="9">
        <v>45044</v>
      </c>
      <c r="H48" s="14" t="s">
        <v>122</v>
      </c>
      <c r="I48" s="4" t="s">
        <v>44</v>
      </c>
      <c r="J48" s="17">
        <v>45052</v>
      </c>
      <c r="K48" s="15" t="s">
        <v>123</v>
      </c>
      <c r="L48" s="16" t="s">
        <v>46</v>
      </c>
      <c r="M48" s="17">
        <f t="shared" si="0"/>
        <v>45054</v>
      </c>
      <c r="N48" s="8"/>
      <c r="O48" s="8" t="s">
        <v>47</v>
      </c>
      <c r="P48" s="17">
        <v>45056</v>
      </c>
      <c r="Q48" s="8"/>
      <c r="R48" s="17">
        <v>45058</v>
      </c>
      <c r="S48" s="8"/>
      <c r="T48" s="17">
        <v>45060</v>
      </c>
      <c r="U48" s="8"/>
      <c r="V48" s="8"/>
      <c r="W48" s="17">
        <v>45073</v>
      </c>
      <c r="X48" s="8"/>
      <c r="Y48" s="21"/>
      <c r="Z48" s="17">
        <v>45077</v>
      </c>
      <c r="AA48" s="8"/>
      <c r="AB48" s="21"/>
      <c r="AC48" s="8"/>
      <c r="AD48" s="8"/>
      <c r="AE48" s="8"/>
      <c r="AF48" s="8"/>
    </row>
    <row r="49" spans="1:32" ht="34" hidden="1">
      <c r="A49" s="4">
        <v>46</v>
      </c>
      <c r="B49" s="55"/>
      <c r="C49" s="8" t="s">
        <v>124</v>
      </c>
      <c r="D49" s="8" t="s">
        <v>74</v>
      </c>
      <c r="E49" s="8" t="s">
        <v>42</v>
      </c>
      <c r="F49" s="8"/>
      <c r="G49" s="9">
        <v>45044</v>
      </c>
      <c r="H49" s="14" t="s">
        <v>122</v>
      </c>
      <c r="I49" s="4" t="s">
        <v>44</v>
      </c>
      <c r="J49" s="17">
        <v>45052</v>
      </c>
      <c r="K49" s="15" t="s">
        <v>123</v>
      </c>
      <c r="L49" s="16" t="s">
        <v>46</v>
      </c>
      <c r="M49" s="17">
        <f t="shared" si="0"/>
        <v>45054</v>
      </c>
      <c r="N49" s="8"/>
      <c r="O49" s="8" t="s">
        <v>47</v>
      </c>
      <c r="P49" s="17">
        <v>45056</v>
      </c>
      <c r="Q49" s="8"/>
      <c r="R49" s="17">
        <v>45058</v>
      </c>
      <c r="S49" s="8"/>
      <c r="T49" s="17">
        <v>45060</v>
      </c>
      <c r="U49" s="8"/>
      <c r="V49" s="8"/>
      <c r="W49" s="17">
        <v>45073</v>
      </c>
      <c r="X49" s="8"/>
      <c r="Y49" s="21"/>
      <c r="Z49" s="17">
        <v>45077</v>
      </c>
      <c r="AA49" s="8"/>
      <c r="AB49" s="21"/>
      <c r="AC49" s="8"/>
      <c r="AD49" s="8"/>
      <c r="AE49" s="8"/>
      <c r="AF49" s="8"/>
    </row>
    <row r="50" spans="1:32" ht="34" hidden="1">
      <c r="A50" s="8">
        <v>47</v>
      </c>
      <c r="B50" s="55"/>
      <c r="C50" s="8" t="s">
        <v>125</v>
      </c>
      <c r="D50" s="8" t="s">
        <v>74</v>
      </c>
      <c r="E50" s="8" t="s">
        <v>42</v>
      </c>
      <c r="F50" s="8"/>
      <c r="G50" s="9">
        <v>45032</v>
      </c>
      <c r="H50" s="14" t="s">
        <v>126</v>
      </c>
      <c r="I50" s="4" t="s">
        <v>44</v>
      </c>
      <c r="J50" s="17">
        <v>45058</v>
      </c>
      <c r="K50" s="15" t="s">
        <v>123</v>
      </c>
      <c r="L50" s="16" t="s">
        <v>46</v>
      </c>
      <c r="M50" s="17">
        <f t="shared" si="0"/>
        <v>45060</v>
      </c>
      <c r="N50" s="8"/>
      <c r="O50" s="8" t="s">
        <v>47</v>
      </c>
      <c r="P50" s="17">
        <v>45062</v>
      </c>
      <c r="Q50" s="8"/>
      <c r="R50" s="17">
        <v>45064</v>
      </c>
      <c r="S50" s="8"/>
      <c r="T50" s="17">
        <v>45066</v>
      </c>
      <c r="U50" s="8"/>
      <c r="V50" s="8"/>
      <c r="W50" s="17">
        <v>45073</v>
      </c>
      <c r="X50" s="8"/>
      <c r="Y50" s="21"/>
      <c r="Z50" s="17">
        <v>45077</v>
      </c>
      <c r="AA50" s="8"/>
      <c r="AB50" s="21"/>
      <c r="AC50" s="8"/>
      <c r="AD50" s="8"/>
      <c r="AE50" s="8"/>
      <c r="AF50" s="8"/>
    </row>
    <row r="51" spans="1:32" ht="34" hidden="1">
      <c r="A51" s="4">
        <v>48</v>
      </c>
      <c r="B51" s="55"/>
      <c r="C51" s="8" t="s">
        <v>127</v>
      </c>
      <c r="D51" s="8" t="s">
        <v>74</v>
      </c>
      <c r="E51" s="8" t="s">
        <v>42</v>
      </c>
      <c r="F51" s="8"/>
      <c r="G51" s="9">
        <v>45032</v>
      </c>
      <c r="H51" s="14" t="s">
        <v>126</v>
      </c>
      <c r="I51" s="4" t="s">
        <v>44</v>
      </c>
      <c r="J51" s="9">
        <v>45052</v>
      </c>
      <c r="K51" s="15" t="s">
        <v>123</v>
      </c>
      <c r="L51" s="16" t="s">
        <v>46</v>
      </c>
      <c r="M51" s="17">
        <f t="shared" si="0"/>
        <v>45054</v>
      </c>
      <c r="N51" s="8"/>
      <c r="O51" s="8" t="s">
        <v>47</v>
      </c>
      <c r="P51" s="17">
        <v>45063</v>
      </c>
      <c r="Q51" s="8"/>
      <c r="R51" s="17">
        <v>45065</v>
      </c>
      <c r="S51" s="8"/>
      <c r="T51" s="17">
        <v>45067</v>
      </c>
      <c r="U51" s="8"/>
      <c r="V51" s="8"/>
      <c r="W51" s="17">
        <v>45073</v>
      </c>
      <c r="X51" s="8"/>
      <c r="Y51" s="21"/>
      <c r="Z51" s="17">
        <v>45077</v>
      </c>
      <c r="AA51" s="8"/>
      <c r="AB51" s="21"/>
      <c r="AC51" s="8"/>
      <c r="AD51" s="8"/>
      <c r="AE51" s="8"/>
      <c r="AF51" s="8"/>
    </row>
    <row r="52" spans="1:32" ht="34" hidden="1">
      <c r="A52" s="8">
        <v>49</v>
      </c>
      <c r="B52" s="55"/>
      <c r="C52" s="8" t="s">
        <v>128</v>
      </c>
      <c r="D52" s="8" t="s">
        <v>74</v>
      </c>
      <c r="E52" s="8" t="s">
        <v>42</v>
      </c>
      <c r="F52" s="8"/>
      <c r="G52" s="9">
        <v>45032</v>
      </c>
      <c r="H52" s="14" t="s">
        <v>126</v>
      </c>
      <c r="I52" s="4" t="s">
        <v>44</v>
      </c>
      <c r="J52" s="9">
        <v>45058</v>
      </c>
      <c r="K52" s="15" t="s">
        <v>123</v>
      </c>
      <c r="L52" s="16" t="s">
        <v>46</v>
      </c>
      <c r="M52" s="17">
        <f t="shared" si="0"/>
        <v>45060</v>
      </c>
      <c r="N52" s="8"/>
      <c r="O52" s="8" t="s">
        <v>47</v>
      </c>
      <c r="P52" s="17">
        <f t="shared" ref="P52:P53" si="19">M52+2</f>
        <v>45062</v>
      </c>
      <c r="Q52" s="4"/>
      <c r="R52" s="19">
        <f t="shared" ref="R52:R61" si="20">P52+2</f>
        <v>45064</v>
      </c>
      <c r="S52" s="20"/>
      <c r="T52" s="19">
        <f t="shared" ref="T52:T54" si="21">R52+2</f>
        <v>45066</v>
      </c>
      <c r="U52" s="8"/>
      <c r="V52" s="8"/>
      <c r="W52" s="17">
        <v>45073</v>
      </c>
      <c r="X52" s="8"/>
      <c r="Y52" s="21"/>
      <c r="Z52" s="17">
        <v>45077</v>
      </c>
      <c r="AA52" s="8"/>
      <c r="AB52" s="21"/>
      <c r="AC52" s="8"/>
      <c r="AD52" s="8"/>
      <c r="AE52" s="8"/>
      <c r="AF52" s="8"/>
    </row>
    <row r="53" spans="1:32" ht="34" hidden="1">
      <c r="A53" s="4">
        <v>50</v>
      </c>
      <c r="B53" s="55"/>
      <c r="C53" s="8" t="s">
        <v>129</v>
      </c>
      <c r="D53" s="8" t="s">
        <v>74</v>
      </c>
      <c r="E53" s="8" t="s">
        <v>42</v>
      </c>
      <c r="F53" s="8"/>
      <c r="G53" s="9">
        <v>45032</v>
      </c>
      <c r="H53" s="14" t="s">
        <v>126</v>
      </c>
      <c r="I53" s="4" t="s">
        <v>44</v>
      </c>
      <c r="J53" s="9">
        <v>45058</v>
      </c>
      <c r="K53" s="15" t="s">
        <v>123</v>
      </c>
      <c r="L53" s="16" t="s">
        <v>46</v>
      </c>
      <c r="M53" s="17">
        <f t="shared" si="0"/>
        <v>45060</v>
      </c>
      <c r="N53" s="8"/>
      <c r="O53" s="8" t="s">
        <v>47</v>
      </c>
      <c r="P53" s="17">
        <f t="shared" si="19"/>
        <v>45062</v>
      </c>
      <c r="Q53" s="4"/>
      <c r="R53" s="19">
        <f t="shared" si="20"/>
        <v>45064</v>
      </c>
      <c r="S53" s="20"/>
      <c r="T53" s="19">
        <f t="shared" si="21"/>
        <v>45066</v>
      </c>
      <c r="U53" s="8"/>
      <c r="V53" s="8"/>
      <c r="W53" s="17">
        <v>45073</v>
      </c>
      <c r="X53" s="8"/>
      <c r="Y53" s="21"/>
      <c r="Z53" s="17">
        <v>45077</v>
      </c>
      <c r="AA53" s="8"/>
      <c r="AB53" s="21"/>
      <c r="AC53" s="8"/>
      <c r="AD53" s="8"/>
      <c r="AE53" s="8"/>
      <c r="AF53" s="8"/>
    </row>
    <row r="54" spans="1:32" ht="34" hidden="1">
      <c r="A54" s="8">
        <v>51</v>
      </c>
      <c r="B54" s="55"/>
      <c r="C54" s="8" t="s">
        <v>130</v>
      </c>
      <c r="D54" s="8" t="s">
        <v>74</v>
      </c>
      <c r="E54" s="8" t="s">
        <v>42</v>
      </c>
      <c r="F54" s="8"/>
      <c r="G54" s="9">
        <v>45032</v>
      </c>
      <c r="H54" s="14" t="s">
        <v>126</v>
      </c>
      <c r="I54" s="4" t="s">
        <v>44</v>
      </c>
      <c r="J54" s="9">
        <v>45043</v>
      </c>
      <c r="K54" s="15" t="s">
        <v>123</v>
      </c>
      <c r="L54" s="16" t="s">
        <v>46</v>
      </c>
      <c r="M54" s="17">
        <f t="shared" si="0"/>
        <v>45045</v>
      </c>
      <c r="N54" s="8"/>
      <c r="O54" s="8" t="s">
        <v>47</v>
      </c>
      <c r="P54" s="17">
        <f>M54+5</f>
        <v>45050</v>
      </c>
      <c r="Q54" s="4"/>
      <c r="R54" s="19">
        <f t="shared" si="20"/>
        <v>45052</v>
      </c>
      <c r="S54" s="20"/>
      <c r="T54" s="19">
        <f t="shared" si="21"/>
        <v>45054</v>
      </c>
      <c r="U54" s="8"/>
      <c r="V54" s="8"/>
      <c r="W54" s="17">
        <v>45073</v>
      </c>
      <c r="X54" s="8"/>
      <c r="Y54" s="21"/>
      <c r="Z54" s="17">
        <v>45077</v>
      </c>
      <c r="AA54" s="8"/>
      <c r="AB54" s="21"/>
      <c r="AC54" s="8"/>
      <c r="AD54" s="8"/>
      <c r="AE54" s="8"/>
      <c r="AF54" s="8"/>
    </row>
    <row r="55" spans="1:32" ht="34" hidden="1">
      <c r="A55" s="4">
        <v>52</v>
      </c>
      <c r="B55" s="55"/>
      <c r="C55" s="8" t="s">
        <v>131</v>
      </c>
      <c r="D55" s="8" t="s">
        <v>74</v>
      </c>
      <c r="E55" s="8" t="s">
        <v>42</v>
      </c>
      <c r="F55" s="8"/>
      <c r="G55" s="9">
        <v>45038</v>
      </c>
      <c r="H55" s="14" t="s">
        <v>132</v>
      </c>
      <c r="I55" s="4" t="s">
        <v>44</v>
      </c>
      <c r="J55" s="9">
        <v>45058</v>
      </c>
      <c r="K55" s="15" t="s">
        <v>123</v>
      </c>
      <c r="L55" s="16" t="s">
        <v>46</v>
      </c>
      <c r="M55" s="17">
        <f t="shared" si="0"/>
        <v>45060</v>
      </c>
      <c r="N55" s="8"/>
      <c r="O55" s="8" t="s">
        <v>47</v>
      </c>
      <c r="P55" s="17">
        <f t="shared" ref="P55:P64" si="22">M55+2</f>
        <v>45062</v>
      </c>
      <c r="Q55" s="4"/>
      <c r="R55" s="19">
        <f t="shared" si="20"/>
        <v>45064</v>
      </c>
      <c r="S55" s="20"/>
      <c r="T55" s="19">
        <f t="shared" ref="T55:T58" si="23">R55+1</f>
        <v>45065</v>
      </c>
      <c r="U55" s="8"/>
      <c r="V55" s="8"/>
      <c r="W55" s="17">
        <v>45073</v>
      </c>
      <c r="X55" s="8"/>
      <c r="Y55" s="21"/>
      <c r="Z55" s="17">
        <v>45077</v>
      </c>
      <c r="AA55" s="8"/>
      <c r="AB55" s="21"/>
      <c r="AC55" s="8"/>
      <c r="AD55" s="8"/>
      <c r="AE55" s="8"/>
      <c r="AF55" s="8"/>
    </row>
    <row r="56" spans="1:32" ht="34" hidden="1">
      <c r="A56" s="8">
        <v>53</v>
      </c>
      <c r="B56" s="55" t="s">
        <v>133</v>
      </c>
      <c r="C56" s="8" t="s">
        <v>134</v>
      </c>
      <c r="D56" s="8" t="s">
        <v>135</v>
      </c>
      <c r="E56" s="8" t="s">
        <v>42</v>
      </c>
      <c r="F56" s="8"/>
      <c r="G56" s="9">
        <v>45044</v>
      </c>
      <c r="H56" s="14" t="s">
        <v>136</v>
      </c>
      <c r="I56" s="4" t="s">
        <v>44</v>
      </c>
      <c r="J56" s="9">
        <v>45058</v>
      </c>
      <c r="K56" s="15" t="s">
        <v>137</v>
      </c>
      <c r="L56" s="16" t="s">
        <v>46</v>
      </c>
      <c r="M56" s="17">
        <f t="shared" si="0"/>
        <v>45060</v>
      </c>
      <c r="N56" s="8"/>
      <c r="O56" s="8" t="s">
        <v>47</v>
      </c>
      <c r="P56" s="17">
        <f t="shared" si="22"/>
        <v>45062</v>
      </c>
      <c r="Q56" s="4"/>
      <c r="R56" s="19">
        <f t="shared" si="20"/>
        <v>45064</v>
      </c>
      <c r="S56" s="20"/>
      <c r="T56" s="19">
        <f t="shared" si="23"/>
        <v>45065</v>
      </c>
      <c r="U56" s="8"/>
      <c r="V56" s="8"/>
      <c r="W56" s="17">
        <v>45073</v>
      </c>
      <c r="X56" s="8"/>
      <c r="Y56" s="21"/>
      <c r="Z56" s="17">
        <v>45077</v>
      </c>
      <c r="AA56" s="8"/>
      <c r="AB56" s="21"/>
      <c r="AC56" s="8"/>
      <c r="AD56" s="8"/>
      <c r="AE56" s="8"/>
      <c r="AF56" s="8"/>
    </row>
    <row r="57" spans="1:32" ht="34" hidden="1">
      <c r="A57" s="4">
        <v>54</v>
      </c>
      <c r="B57" s="55"/>
      <c r="C57" s="8" t="s">
        <v>138</v>
      </c>
      <c r="D57" s="8" t="s">
        <v>135</v>
      </c>
      <c r="E57" s="8" t="s">
        <v>42</v>
      </c>
      <c r="F57" s="8"/>
      <c r="G57" s="9">
        <v>45044</v>
      </c>
      <c r="H57" s="14" t="s">
        <v>136</v>
      </c>
      <c r="I57" s="4" t="s">
        <v>44</v>
      </c>
      <c r="J57" s="9">
        <v>45058</v>
      </c>
      <c r="K57" s="15" t="s">
        <v>137</v>
      </c>
      <c r="L57" s="16" t="s">
        <v>46</v>
      </c>
      <c r="M57" s="17">
        <f t="shared" si="0"/>
        <v>45060</v>
      </c>
      <c r="N57" s="8"/>
      <c r="O57" s="8" t="s">
        <v>47</v>
      </c>
      <c r="P57" s="17">
        <f t="shared" si="22"/>
        <v>45062</v>
      </c>
      <c r="Q57" s="4"/>
      <c r="R57" s="19">
        <f t="shared" si="20"/>
        <v>45064</v>
      </c>
      <c r="S57" s="20"/>
      <c r="T57" s="19">
        <f t="shared" si="23"/>
        <v>45065</v>
      </c>
      <c r="U57" s="8"/>
      <c r="V57" s="8"/>
      <c r="W57" s="17">
        <v>45073</v>
      </c>
      <c r="X57" s="8"/>
      <c r="Y57" s="21"/>
      <c r="Z57" s="17">
        <v>45077</v>
      </c>
      <c r="AA57" s="8"/>
      <c r="AB57" s="21"/>
      <c r="AC57" s="8"/>
      <c r="AD57" s="8"/>
      <c r="AE57" s="8"/>
      <c r="AF57" s="8"/>
    </row>
    <row r="58" spans="1:32" ht="34" hidden="1">
      <c r="A58" s="8">
        <v>55</v>
      </c>
      <c r="B58" s="55"/>
      <c r="C58" s="8" t="s">
        <v>139</v>
      </c>
      <c r="D58" s="8" t="s">
        <v>135</v>
      </c>
      <c r="E58" s="8" t="s">
        <v>42</v>
      </c>
      <c r="F58" s="8"/>
      <c r="G58" s="9">
        <v>45044</v>
      </c>
      <c r="H58" s="14" t="s">
        <v>136</v>
      </c>
      <c r="I58" s="4" t="s">
        <v>44</v>
      </c>
      <c r="J58" s="9">
        <v>45058</v>
      </c>
      <c r="K58" s="15" t="s">
        <v>140</v>
      </c>
      <c r="L58" s="16" t="s">
        <v>46</v>
      </c>
      <c r="M58" s="17">
        <f t="shared" si="0"/>
        <v>45060</v>
      </c>
      <c r="N58" s="8"/>
      <c r="O58" s="8" t="s">
        <v>47</v>
      </c>
      <c r="P58" s="17">
        <f t="shared" si="22"/>
        <v>45062</v>
      </c>
      <c r="Q58" s="4"/>
      <c r="R58" s="19">
        <f t="shared" si="20"/>
        <v>45064</v>
      </c>
      <c r="S58" s="20"/>
      <c r="T58" s="19">
        <f t="shared" si="23"/>
        <v>45065</v>
      </c>
      <c r="U58" s="8"/>
      <c r="V58" s="8"/>
      <c r="W58" s="17">
        <v>45073</v>
      </c>
      <c r="X58" s="8"/>
      <c r="Y58" s="21"/>
      <c r="Z58" s="17">
        <v>45077</v>
      </c>
      <c r="AA58" s="8"/>
      <c r="AB58" s="21"/>
      <c r="AC58" s="8"/>
      <c r="AD58" s="8"/>
      <c r="AE58" s="8"/>
      <c r="AF58" s="8"/>
    </row>
    <row r="59" spans="1:32" ht="34" hidden="1">
      <c r="A59" s="4">
        <v>56</v>
      </c>
      <c r="B59" s="55"/>
      <c r="C59" s="8" t="s">
        <v>141</v>
      </c>
      <c r="D59" s="8" t="s">
        <v>135</v>
      </c>
      <c r="E59" s="8" t="s">
        <v>42</v>
      </c>
      <c r="F59" s="8"/>
      <c r="G59" s="9">
        <v>45044</v>
      </c>
      <c r="H59" s="14" t="s">
        <v>142</v>
      </c>
      <c r="I59" s="4" t="s">
        <v>44</v>
      </c>
      <c r="J59" s="9">
        <v>45060</v>
      </c>
      <c r="K59" s="15" t="s">
        <v>140</v>
      </c>
      <c r="L59" s="16" t="s">
        <v>46</v>
      </c>
      <c r="M59" s="17">
        <f t="shared" si="0"/>
        <v>45062</v>
      </c>
      <c r="N59" s="8"/>
      <c r="O59" s="8" t="s">
        <v>47</v>
      </c>
      <c r="P59" s="17">
        <f t="shared" si="22"/>
        <v>45064</v>
      </c>
      <c r="Q59" s="4"/>
      <c r="R59" s="19">
        <f t="shared" si="20"/>
        <v>45066</v>
      </c>
      <c r="S59" s="20"/>
      <c r="T59" s="19">
        <f t="shared" ref="T59:T67" si="24">R59+2</f>
        <v>45068</v>
      </c>
      <c r="U59" s="8"/>
      <c r="V59" s="8"/>
      <c r="W59" s="17">
        <v>45073</v>
      </c>
      <c r="X59" s="8"/>
      <c r="Y59" s="21"/>
      <c r="Z59" s="17">
        <v>45077</v>
      </c>
      <c r="AA59" s="8"/>
      <c r="AB59" s="21"/>
      <c r="AC59" s="8"/>
      <c r="AD59" s="8"/>
      <c r="AE59" s="8"/>
      <c r="AF59" s="8"/>
    </row>
    <row r="60" spans="1:32" ht="34" hidden="1">
      <c r="A60" s="8">
        <v>57</v>
      </c>
      <c r="B60" s="55"/>
      <c r="C60" s="8" t="s">
        <v>143</v>
      </c>
      <c r="D60" s="8" t="s">
        <v>135</v>
      </c>
      <c r="E60" s="8" t="s">
        <v>42</v>
      </c>
      <c r="F60" s="8"/>
      <c r="G60" s="9">
        <v>45044</v>
      </c>
      <c r="H60" s="14" t="s">
        <v>142</v>
      </c>
      <c r="I60" s="4" t="s">
        <v>44</v>
      </c>
      <c r="J60" s="9">
        <v>45060</v>
      </c>
      <c r="K60" s="15" t="s">
        <v>140</v>
      </c>
      <c r="L60" s="16" t="s">
        <v>46</v>
      </c>
      <c r="M60" s="17">
        <f t="shared" si="0"/>
        <v>45062</v>
      </c>
      <c r="N60" s="8"/>
      <c r="O60" s="8" t="s">
        <v>47</v>
      </c>
      <c r="P60" s="17">
        <f t="shared" si="22"/>
        <v>45064</v>
      </c>
      <c r="Q60" s="4"/>
      <c r="R60" s="19">
        <f t="shared" si="20"/>
        <v>45066</v>
      </c>
      <c r="S60" s="20"/>
      <c r="T60" s="19">
        <f t="shared" si="24"/>
        <v>45068</v>
      </c>
      <c r="U60" s="8"/>
      <c r="V60" s="8"/>
      <c r="W60" s="17">
        <v>45073</v>
      </c>
      <c r="X60" s="8"/>
      <c r="Y60" s="21"/>
      <c r="Z60" s="17">
        <v>45077</v>
      </c>
      <c r="AA60" s="8"/>
      <c r="AB60" s="21"/>
      <c r="AC60" s="8"/>
      <c r="AD60" s="8"/>
      <c r="AE60" s="8"/>
      <c r="AF60" s="8"/>
    </row>
    <row r="61" spans="1:32" ht="34" hidden="1">
      <c r="A61" s="4">
        <v>58</v>
      </c>
      <c r="B61" s="55"/>
      <c r="C61" s="8" t="s">
        <v>144</v>
      </c>
      <c r="D61" s="8" t="s">
        <v>135</v>
      </c>
      <c r="E61" s="8" t="s">
        <v>42</v>
      </c>
      <c r="F61" s="8"/>
      <c r="G61" s="9">
        <v>45044</v>
      </c>
      <c r="H61" s="14" t="s">
        <v>142</v>
      </c>
      <c r="I61" s="4" t="s">
        <v>44</v>
      </c>
      <c r="J61" s="9">
        <v>45060</v>
      </c>
      <c r="K61" s="15" t="s">
        <v>140</v>
      </c>
      <c r="L61" s="16" t="s">
        <v>46</v>
      </c>
      <c r="M61" s="17">
        <f t="shared" si="0"/>
        <v>45062</v>
      </c>
      <c r="N61" s="8"/>
      <c r="O61" s="8" t="s">
        <v>47</v>
      </c>
      <c r="P61" s="17">
        <f t="shared" si="22"/>
        <v>45064</v>
      </c>
      <c r="Q61" s="4"/>
      <c r="R61" s="19">
        <f t="shared" si="20"/>
        <v>45066</v>
      </c>
      <c r="S61" s="20"/>
      <c r="T61" s="19">
        <f t="shared" si="24"/>
        <v>45068</v>
      </c>
      <c r="U61" s="8"/>
      <c r="V61" s="8"/>
      <c r="W61" s="17">
        <v>45073</v>
      </c>
      <c r="X61" s="8"/>
      <c r="Y61" s="21"/>
      <c r="Z61" s="17">
        <v>45077</v>
      </c>
      <c r="AA61" s="8"/>
      <c r="AB61" s="21"/>
      <c r="AC61" s="8"/>
      <c r="AD61" s="8"/>
      <c r="AE61" s="8"/>
      <c r="AF61" s="8"/>
    </row>
    <row r="62" spans="1:32" ht="34" hidden="1">
      <c r="A62" s="8">
        <v>59</v>
      </c>
      <c r="B62" s="55"/>
      <c r="C62" s="8" t="s">
        <v>145</v>
      </c>
      <c r="D62" s="8" t="s">
        <v>135</v>
      </c>
      <c r="E62" s="8" t="s">
        <v>42</v>
      </c>
      <c r="F62" s="8"/>
      <c r="G62" s="9">
        <v>45044</v>
      </c>
      <c r="H62" s="14" t="s">
        <v>142</v>
      </c>
      <c r="I62" s="4" t="s">
        <v>44</v>
      </c>
      <c r="J62" s="9">
        <v>45061</v>
      </c>
      <c r="K62" s="15" t="s">
        <v>140</v>
      </c>
      <c r="L62" s="16" t="s">
        <v>46</v>
      </c>
      <c r="M62" s="17">
        <f t="shared" si="0"/>
        <v>45063</v>
      </c>
      <c r="N62" s="8"/>
      <c r="O62" s="8" t="s">
        <v>47</v>
      </c>
      <c r="P62" s="17">
        <f t="shared" si="22"/>
        <v>45065</v>
      </c>
      <c r="Q62" s="4"/>
      <c r="R62" s="19">
        <f t="shared" ref="R62:R67" si="25">P62+3</f>
        <v>45068</v>
      </c>
      <c r="S62" s="20"/>
      <c r="T62" s="19">
        <f t="shared" si="24"/>
        <v>45070</v>
      </c>
      <c r="U62" s="8"/>
      <c r="V62" s="8"/>
      <c r="W62" s="17">
        <v>45073</v>
      </c>
      <c r="X62" s="8"/>
      <c r="Y62" s="21"/>
      <c r="Z62" s="17">
        <v>45077</v>
      </c>
      <c r="AA62" s="8"/>
      <c r="AB62" s="21"/>
      <c r="AC62" s="8"/>
      <c r="AD62" s="8"/>
      <c r="AE62" s="8"/>
      <c r="AF62" s="8"/>
    </row>
    <row r="63" spans="1:32" ht="34" hidden="1">
      <c r="A63" s="4">
        <v>60</v>
      </c>
      <c r="B63" s="55"/>
      <c r="C63" s="8" t="s">
        <v>146</v>
      </c>
      <c r="D63" s="8" t="s">
        <v>135</v>
      </c>
      <c r="E63" s="8" t="s">
        <v>42</v>
      </c>
      <c r="F63" s="8"/>
      <c r="G63" s="9">
        <v>45044</v>
      </c>
      <c r="H63" s="14" t="s">
        <v>142</v>
      </c>
      <c r="I63" s="4" t="s">
        <v>44</v>
      </c>
      <c r="J63" s="9">
        <v>45061</v>
      </c>
      <c r="K63" s="15" t="s">
        <v>140</v>
      </c>
      <c r="L63" s="16" t="s">
        <v>46</v>
      </c>
      <c r="M63" s="17">
        <f t="shared" si="0"/>
        <v>45063</v>
      </c>
      <c r="N63" s="8"/>
      <c r="O63" s="8" t="s">
        <v>47</v>
      </c>
      <c r="P63" s="17">
        <f t="shared" si="22"/>
        <v>45065</v>
      </c>
      <c r="Q63" s="4"/>
      <c r="R63" s="19">
        <f t="shared" si="25"/>
        <v>45068</v>
      </c>
      <c r="S63" s="20"/>
      <c r="T63" s="19">
        <f t="shared" si="24"/>
        <v>45070</v>
      </c>
      <c r="U63" s="8"/>
      <c r="V63" s="8"/>
      <c r="W63" s="17">
        <v>45073</v>
      </c>
      <c r="X63" s="8"/>
      <c r="Y63" s="21"/>
      <c r="Z63" s="17">
        <v>45077</v>
      </c>
      <c r="AA63" s="8"/>
      <c r="AB63" s="21"/>
      <c r="AC63" s="8"/>
      <c r="AD63" s="8"/>
      <c r="AE63" s="8"/>
      <c r="AF63" s="8"/>
    </row>
    <row r="64" spans="1:32" ht="34" hidden="1">
      <c r="A64" s="8">
        <v>61</v>
      </c>
      <c r="B64" s="55"/>
      <c r="C64" s="8" t="s">
        <v>147</v>
      </c>
      <c r="D64" s="8" t="s">
        <v>135</v>
      </c>
      <c r="E64" s="8" t="s">
        <v>42</v>
      </c>
      <c r="F64" s="8"/>
      <c r="G64" s="9">
        <v>45044</v>
      </c>
      <c r="H64" s="14" t="s">
        <v>142</v>
      </c>
      <c r="I64" s="4" t="s">
        <v>44</v>
      </c>
      <c r="J64" s="9">
        <v>45061</v>
      </c>
      <c r="K64" s="15" t="s">
        <v>140</v>
      </c>
      <c r="L64" s="16" t="s">
        <v>46</v>
      </c>
      <c r="M64" s="17">
        <f t="shared" si="0"/>
        <v>45063</v>
      </c>
      <c r="N64" s="8"/>
      <c r="O64" s="8" t="s">
        <v>47</v>
      </c>
      <c r="P64" s="17">
        <f t="shared" si="22"/>
        <v>45065</v>
      </c>
      <c r="Q64" s="4"/>
      <c r="R64" s="19">
        <f t="shared" si="25"/>
        <v>45068</v>
      </c>
      <c r="S64" s="20"/>
      <c r="T64" s="19">
        <f t="shared" si="24"/>
        <v>45070</v>
      </c>
      <c r="U64" s="8"/>
      <c r="V64" s="8"/>
      <c r="W64" s="17">
        <v>45073</v>
      </c>
      <c r="X64" s="8"/>
      <c r="Y64" s="21"/>
      <c r="Z64" s="17">
        <v>45077</v>
      </c>
      <c r="AA64" s="8"/>
      <c r="AB64" s="21"/>
      <c r="AC64" s="8"/>
      <c r="AD64" s="8"/>
      <c r="AE64" s="8"/>
      <c r="AF64" s="8"/>
    </row>
    <row r="65" spans="1:32" ht="34" hidden="1">
      <c r="A65" s="4">
        <v>62</v>
      </c>
      <c r="B65" s="55"/>
      <c r="C65" s="8" t="s">
        <v>148</v>
      </c>
      <c r="D65" s="8" t="s">
        <v>135</v>
      </c>
      <c r="E65" s="8" t="s">
        <v>42</v>
      </c>
      <c r="F65" s="8"/>
      <c r="G65" s="9">
        <v>45044</v>
      </c>
      <c r="H65" s="14" t="s">
        <v>142</v>
      </c>
      <c r="I65" s="4" t="s">
        <v>44</v>
      </c>
      <c r="J65" s="9">
        <v>45062</v>
      </c>
      <c r="K65" s="15" t="s">
        <v>140</v>
      </c>
      <c r="L65" s="16" t="s">
        <v>46</v>
      </c>
      <c r="M65" s="17">
        <f t="shared" si="0"/>
        <v>45064</v>
      </c>
      <c r="N65" s="8"/>
      <c r="O65" s="8" t="s">
        <v>47</v>
      </c>
      <c r="P65" s="17">
        <f t="shared" ref="P65:P67" si="26">M65+1</f>
        <v>45065</v>
      </c>
      <c r="Q65" s="4"/>
      <c r="R65" s="19">
        <f t="shared" si="25"/>
        <v>45068</v>
      </c>
      <c r="S65" s="20"/>
      <c r="T65" s="19">
        <f t="shared" si="24"/>
        <v>45070</v>
      </c>
      <c r="U65" s="8"/>
      <c r="V65" s="8"/>
      <c r="W65" s="17">
        <v>45073</v>
      </c>
      <c r="X65" s="8"/>
      <c r="Y65" s="21"/>
      <c r="Z65" s="17">
        <v>45077</v>
      </c>
      <c r="AA65" s="8"/>
      <c r="AB65" s="21"/>
      <c r="AC65" s="8"/>
      <c r="AD65" s="8"/>
      <c r="AE65" s="8"/>
      <c r="AF65" s="8"/>
    </row>
    <row r="66" spans="1:32" ht="34" hidden="1">
      <c r="A66" s="8">
        <v>63</v>
      </c>
      <c r="B66" s="55"/>
      <c r="C66" s="8" t="s">
        <v>149</v>
      </c>
      <c r="D66" s="8" t="s">
        <v>135</v>
      </c>
      <c r="E66" s="8" t="s">
        <v>42</v>
      </c>
      <c r="F66" s="8"/>
      <c r="G66" s="9">
        <v>45044</v>
      </c>
      <c r="H66" s="14" t="s">
        <v>142</v>
      </c>
      <c r="I66" s="4" t="s">
        <v>44</v>
      </c>
      <c r="J66" s="9">
        <v>45062</v>
      </c>
      <c r="K66" s="15" t="s">
        <v>140</v>
      </c>
      <c r="L66" s="16" t="s">
        <v>46</v>
      </c>
      <c r="M66" s="17">
        <f t="shared" si="0"/>
        <v>45064</v>
      </c>
      <c r="N66" s="8"/>
      <c r="O66" s="8" t="s">
        <v>47</v>
      </c>
      <c r="P66" s="17">
        <f t="shared" si="26"/>
        <v>45065</v>
      </c>
      <c r="Q66" s="4"/>
      <c r="R66" s="19">
        <f t="shared" si="25"/>
        <v>45068</v>
      </c>
      <c r="S66" s="20"/>
      <c r="T66" s="19">
        <f t="shared" si="24"/>
        <v>45070</v>
      </c>
      <c r="U66" s="8"/>
      <c r="V66" s="8"/>
      <c r="W66" s="17">
        <v>45073</v>
      </c>
      <c r="X66" s="8"/>
      <c r="Y66" s="21"/>
      <c r="Z66" s="17">
        <v>45077</v>
      </c>
      <c r="AA66" s="8"/>
      <c r="AB66" s="21"/>
      <c r="AC66" s="8"/>
      <c r="AD66" s="8"/>
      <c r="AE66" s="8"/>
      <c r="AF66" s="8"/>
    </row>
    <row r="67" spans="1:32" ht="34" hidden="1">
      <c r="A67" s="4">
        <v>64</v>
      </c>
      <c r="B67" s="55"/>
      <c r="C67" s="8" t="s">
        <v>150</v>
      </c>
      <c r="D67" s="8" t="s">
        <v>135</v>
      </c>
      <c r="E67" s="8" t="s">
        <v>42</v>
      </c>
      <c r="F67" s="8"/>
      <c r="G67" s="9">
        <v>45044</v>
      </c>
      <c r="H67" s="14" t="s">
        <v>142</v>
      </c>
      <c r="I67" s="4" t="s">
        <v>44</v>
      </c>
      <c r="J67" s="9">
        <v>45062</v>
      </c>
      <c r="K67" s="15" t="s">
        <v>140</v>
      </c>
      <c r="L67" s="16" t="s">
        <v>46</v>
      </c>
      <c r="M67" s="17">
        <f t="shared" si="0"/>
        <v>45064</v>
      </c>
      <c r="N67" s="8"/>
      <c r="O67" s="8" t="s">
        <v>47</v>
      </c>
      <c r="P67" s="17">
        <f t="shared" si="26"/>
        <v>45065</v>
      </c>
      <c r="Q67" s="4"/>
      <c r="R67" s="19">
        <f t="shared" si="25"/>
        <v>45068</v>
      </c>
      <c r="S67" s="20"/>
      <c r="T67" s="19">
        <f t="shared" si="24"/>
        <v>45070</v>
      </c>
      <c r="U67" s="8"/>
      <c r="V67" s="8"/>
      <c r="W67" s="17">
        <v>45073</v>
      </c>
      <c r="X67" s="8"/>
      <c r="Y67" s="21"/>
      <c r="Z67" s="17">
        <v>45077</v>
      </c>
      <c r="AA67" s="8"/>
      <c r="AB67" s="21"/>
      <c r="AC67" s="8"/>
      <c r="AD67" s="8"/>
      <c r="AE67" s="8"/>
      <c r="AF67" s="8"/>
    </row>
    <row r="68" spans="1:32" ht="34" hidden="1">
      <c r="A68" s="8">
        <v>65</v>
      </c>
      <c r="B68" s="55"/>
      <c r="C68" s="8" t="s">
        <v>151</v>
      </c>
      <c r="D68" s="8" t="s">
        <v>135</v>
      </c>
      <c r="E68" s="8" t="s">
        <v>42</v>
      </c>
      <c r="F68" s="8"/>
      <c r="G68" s="9">
        <v>45044</v>
      </c>
      <c r="H68" s="14" t="s">
        <v>142</v>
      </c>
      <c r="I68" s="4" t="s">
        <v>44</v>
      </c>
      <c r="J68" s="9">
        <v>45063</v>
      </c>
      <c r="K68" s="15" t="s">
        <v>140</v>
      </c>
      <c r="L68" s="16" t="s">
        <v>46</v>
      </c>
      <c r="M68" s="17">
        <f t="shared" si="0"/>
        <v>45065</v>
      </c>
      <c r="N68" s="8"/>
      <c r="O68" s="8" t="s">
        <v>47</v>
      </c>
      <c r="P68" s="17">
        <f t="shared" ref="P68:P70" si="27">M68+3</f>
        <v>45068</v>
      </c>
      <c r="Q68" s="4"/>
      <c r="R68" s="19">
        <f t="shared" ref="R68:R70" si="28">P68+2</f>
        <v>45070</v>
      </c>
      <c r="S68" s="20"/>
      <c r="T68" s="19">
        <f t="shared" ref="T68:T70" si="29">R68+1</f>
        <v>45071</v>
      </c>
      <c r="U68" s="8"/>
      <c r="V68" s="8"/>
      <c r="W68" s="17">
        <v>45073</v>
      </c>
      <c r="X68" s="8"/>
      <c r="Y68" s="21"/>
      <c r="Z68" s="17">
        <v>45077</v>
      </c>
      <c r="AA68" s="8"/>
      <c r="AB68" s="21"/>
      <c r="AC68" s="8"/>
      <c r="AD68" s="8"/>
      <c r="AE68" s="8"/>
      <c r="AF68" s="8"/>
    </row>
    <row r="69" spans="1:32" ht="34" hidden="1">
      <c r="A69" s="4">
        <v>66</v>
      </c>
      <c r="B69" s="55"/>
      <c r="C69" s="8" t="s">
        <v>152</v>
      </c>
      <c r="D69" s="8" t="s">
        <v>135</v>
      </c>
      <c r="E69" s="8" t="s">
        <v>42</v>
      </c>
      <c r="F69" s="8"/>
      <c r="G69" s="9">
        <v>45044</v>
      </c>
      <c r="H69" s="14" t="s">
        <v>142</v>
      </c>
      <c r="I69" s="4" t="s">
        <v>44</v>
      </c>
      <c r="J69" s="9">
        <v>45063</v>
      </c>
      <c r="K69" s="15" t="s">
        <v>140</v>
      </c>
      <c r="L69" s="16" t="s">
        <v>46</v>
      </c>
      <c r="M69" s="17">
        <f t="shared" si="0"/>
        <v>45065</v>
      </c>
      <c r="N69" s="8"/>
      <c r="O69" s="8" t="s">
        <v>47</v>
      </c>
      <c r="P69" s="17">
        <f t="shared" si="27"/>
        <v>45068</v>
      </c>
      <c r="Q69" s="4"/>
      <c r="R69" s="19">
        <f t="shared" si="28"/>
        <v>45070</v>
      </c>
      <c r="S69" s="20"/>
      <c r="T69" s="19">
        <f t="shared" si="29"/>
        <v>45071</v>
      </c>
      <c r="U69" s="8"/>
      <c r="V69" s="8"/>
      <c r="W69" s="17">
        <v>45073</v>
      </c>
      <c r="X69" s="8"/>
      <c r="Y69" s="21"/>
      <c r="Z69" s="17">
        <v>45077</v>
      </c>
      <c r="AA69" s="8"/>
      <c r="AB69" s="21"/>
      <c r="AC69" s="8"/>
      <c r="AD69" s="8"/>
      <c r="AE69" s="8"/>
      <c r="AF69" s="8"/>
    </row>
    <row r="70" spans="1:32" ht="34" hidden="1">
      <c r="A70" s="8">
        <v>67</v>
      </c>
      <c r="B70" s="55"/>
      <c r="C70" s="8" t="s">
        <v>153</v>
      </c>
      <c r="D70" s="8" t="s">
        <v>135</v>
      </c>
      <c r="E70" s="8" t="s">
        <v>42</v>
      </c>
      <c r="F70" s="8"/>
      <c r="G70" s="9">
        <v>45044</v>
      </c>
      <c r="H70" s="14" t="s">
        <v>142</v>
      </c>
      <c r="I70" s="4" t="s">
        <v>44</v>
      </c>
      <c r="J70" s="9">
        <v>45063</v>
      </c>
      <c r="K70" s="15" t="s">
        <v>140</v>
      </c>
      <c r="L70" s="16" t="s">
        <v>46</v>
      </c>
      <c r="M70" s="17">
        <f t="shared" si="0"/>
        <v>45065</v>
      </c>
      <c r="N70" s="8"/>
      <c r="O70" s="8" t="s">
        <v>47</v>
      </c>
      <c r="P70" s="17">
        <f t="shared" si="27"/>
        <v>45068</v>
      </c>
      <c r="Q70" s="4"/>
      <c r="R70" s="19">
        <f t="shared" si="28"/>
        <v>45070</v>
      </c>
      <c r="S70" s="20"/>
      <c r="T70" s="19">
        <f t="shared" si="29"/>
        <v>45071</v>
      </c>
      <c r="U70" s="8"/>
      <c r="V70" s="8"/>
      <c r="W70" s="17">
        <v>45073</v>
      </c>
      <c r="X70" s="8"/>
      <c r="Y70" s="21"/>
      <c r="Z70" s="17">
        <v>45077</v>
      </c>
      <c r="AA70" s="8"/>
      <c r="AB70" s="21"/>
      <c r="AC70" s="8"/>
      <c r="AD70" s="8"/>
      <c r="AE70" s="8"/>
      <c r="AF70" s="8"/>
    </row>
    <row r="71" spans="1:32" ht="30" hidden="1">
      <c r="A71" s="4">
        <v>68</v>
      </c>
      <c r="B71" s="55"/>
      <c r="C71" s="8" t="s">
        <v>154</v>
      </c>
      <c r="D71" s="8" t="s">
        <v>135</v>
      </c>
      <c r="E71" s="8" t="s">
        <v>42</v>
      </c>
      <c r="F71" s="8"/>
      <c r="G71" s="9"/>
      <c r="H71" s="22" t="s">
        <v>155</v>
      </c>
      <c r="I71" s="4" t="s">
        <v>44</v>
      </c>
      <c r="J71" s="8" t="s">
        <v>156</v>
      </c>
      <c r="K71" s="15" t="s">
        <v>157</v>
      </c>
      <c r="L71" s="16" t="s">
        <v>46</v>
      </c>
      <c r="M71" s="17" t="e">
        <f t="shared" si="0"/>
        <v>#VALUE!</v>
      </c>
      <c r="N71" s="8"/>
      <c r="O71" s="8" t="s">
        <v>47</v>
      </c>
      <c r="P71" s="8"/>
      <c r="Q71" s="8"/>
      <c r="R71" s="8"/>
      <c r="S71" s="8"/>
      <c r="T71" s="8"/>
      <c r="U71" s="8"/>
      <c r="V71" s="8"/>
      <c r="W71" s="17">
        <v>45073</v>
      </c>
      <c r="X71" s="8"/>
      <c r="Y71" s="21"/>
      <c r="Z71" s="17">
        <v>45077</v>
      </c>
      <c r="AA71" s="8"/>
      <c r="AB71" s="21"/>
      <c r="AC71" s="8"/>
      <c r="AD71" s="8"/>
      <c r="AE71" s="8"/>
      <c r="AF71" s="8"/>
    </row>
    <row r="72" spans="1:32" ht="30" hidden="1">
      <c r="A72" s="8">
        <v>69</v>
      </c>
      <c r="B72" s="55" t="s">
        <v>158</v>
      </c>
      <c r="C72" s="4" t="s">
        <v>159</v>
      </c>
      <c r="D72" s="8" t="s">
        <v>41</v>
      </c>
      <c r="E72" s="8" t="s">
        <v>42</v>
      </c>
      <c r="F72" s="8"/>
      <c r="G72" s="9" t="s">
        <v>66</v>
      </c>
      <c r="H72" s="6"/>
      <c r="I72" s="4" t="s">
        <v>44</v>
      </c>
      <c r="J72" s="9">
        <v>45064</v>
      </c>
      <c r="K72" s="58" t="s">
        <v>160</v>
      </c>
      <c r="L72" s="16" t="s">
        <v>46</v>
      </c>
      <c r="M72" s="17">
        <f t="shared" ref="M72:M94" si="30">J72+2</f>
        <v>45066</v>
      </c>
      <c r="N72" s="8"/>
      <c r="O72" s="8" t="s">
        <v>47</v>
      </c>
      <c r="P72" s="17">
        <f>M72+2</f>
        <v>45068</v>
      </c>
      <c r="Q72" s="4"/>
      <c r="R72" s="19">
        <f t="shared" ref="R72:R93" si="31">P72+2</f>
        <v>45070</v>
      </c>
      <c r="S72" s="20"/>
      <c r="T72" s="19">
        <f t="shared" ref="T72:T93" si="32">R72+1</f>
        <v>45071</v>
      </c>
      <c r="U72" s="8"/>
      <c r="V72" s="8"/>
      <c r="W72" s="17">
        <v>45073</v>
      </c>
      <c r="X72" s="8"/>
      <c r="Y72" s="21"/>
      <c r="Z72" s="17">
        <v>45077</v>
      </c>
      <c r="AA72" s="8"/>
      <c r="AB72" s="21"/>
      <c r="AC72" s="8"/>
      <c r="AD72" s="8"/>
      <c r="AE72" s="8"/>
      <c r="AF72" s="8"/>
    </row>
    <row r="73" spans="1:32" ht="30" hidden="1">
      <c r="A73" s="4">
        <v>70</v>
      </c>
      <c r="B73" s="55"/>
      <c r="C73" s="8" t="s">
        <v>161</v>
      </c>
      <c r="D73" s="8" t="s">
        <v>41</v>
      </c>
      <c r="E73" s="8" t="s">
        <v>42</v>
      </c>
      <c r="F73" s="8"/>
      <c r="G73" s="9" t="s">
        <v>66</v>
      </c>
      <c r="H73" s="6"/>
      <c r="I73" s="4" t="s">
        <v>44</v>
      </c>
      <c r="J73" s="9">
        <v>45065</v>
      </c>
      <c r="K73" s="58"/>
      <c r="L73" s="16" t="s">
        <v>46</v>
      </c>
      <c r="M73" s="17">
        <f t="shared" si="30"/>
        <v>45067</v>
      </c>
      <c r="N73" s="8"/>
      <c r="O73" s="8" t="s">
        <v>47</v>
      </c>
      <c r="P73" s="17">
        <f t="shared" ref="P73:P93" si="33">M73+1</f>
        <v>45068</v>
      </c>
      <c r="Q73" s="4"/>
      <c r="R73" s="19">
        <f t="shared" si="31"/>
        <v>45070</v>
      </c>
      <c r="S73" s="20"/>
      <c r="T73" s="19">
        <f t="shared" si="32"/>
        <v>45071</v>
      </c>
      <c r="U73" s="8"/>
      <c r="V73" s="8"/>
      <c r="W73" s="17">
        <v>45073</v>
      </c>
      <c r="X73" s="8"/>
      <c r="Y73" s="21"/>
      <c r="Z73" s="17">
        <v>45077</v>
      </c>
      <c r="AA73" s="8"/>
      <c r="AB73" s="21"/>
      <c r="AC73" s="8"/>
      <c r="AD73" s="8"/>
      <c r="AE73" s="8"/>
      <c r="AF73" s="8"/>
    </row>
    <row r="74" spans="1:32" ht="30" hidden="1">
      <c r="A74" s="8">
        <v>71</v>
      </c>
      <c r="B74" s="55"/>
      <c r="C74" s="8" t="s">
        <v>162</v>
      </c>
      <c r="D74" s="8" t="s">
        <v>41</v>
      </c>
      <c r="E74" s="8" t="s">
        <v>42</v>
      </c>
      <c r="F74" s="8"/>
      <c r="G74" s="9" t="s">
        <v>66</v>
      </c>
      <c r="H74" s="6"/>
      <c r="I74" s="4" t="s">
        <v>44</v>
      </c>
      <c r="J74" s="9">
        <v>45065</v>
      </c>
      <c r="K74" s="58"/>
      <c r="L74" s="16" t="s">
        <v>46</v>
      </c>
      <c r="M74" s="17">
        <f t="shared" si="30"/>
        <v>45067</v>
      </c>
      <c r="N74" s="8"/>
      <c r="O74" s="8" t="s">
        <v>47</v>
      </c>
      <c r="P74" s="17">
        <f t="shared" si="33"/>
        <v>45068</v>
      </c>
      <c r="Q74" s="4"/>
      <c r="R74" s="19">
        <f t="shared" si="31"/>
        <v>45070</v>
      </c>
      <c r="S74" s="20"/>
      <c r="T74" s="19">
        <f t="shared" si="32"/>
        <v>45071</v>
      </c>
      <c r="U74" s="8"/>
      <c r="V74" s="8"/>
      <c r="W74" s="17">
        <v>45073</v>
      </c>
      <c r="X74" s="8"/>
      <c r="Y74" s="21"/>
      <c r="Z74" s="17">
        <v>45077</v>
      </c>
      <c r="AA74" s="8"/>
      <c r="AB74" s="21"/>
      <c r="AC74" s="8"/>
      <c r="AD74" s="8"/>
      <c r="AE74" s="8"/>
      <c r="AF74" s="8"/>
    </row>
    <row r="75" spans="1:32" ht="30" hidden="1">
      <c r="A75" s="4">
        <v>72</v>
      </c>
      <c r="B75" s="55"/>
      <c r="C75" s="8" t="s">
        <v>163</v>
      </c>
      <c r="D75" s="8" t="s">
        <v>41</v>
      </c>
      <c r="E75" s="8" t="s">
        <v>42</v>
      </c>
      <c r="F75" s="8"/>
      <c r="G75" s="9" t="s">
        <v>66</v>
      </c>
      <c r="H75" s="6"/>
      <c r="I75" s="4" t="s">
        <v>44</v>
      </c>
      <c r="J75" s="9">
        <v>45065</v>
      </c>
      <c r="K75" s="58"/>
      <c r="L75" s="16" t="s">
        <v>46</v>
      </c>
      <c r="M75" s="17">
        <f t="shared" si="30"/>
        <v>45067</v>
      </c>
      <c r="N75" s="8"/>
      <c r="O75" s="8" t="s">
        <v>47</v>
      </c>
      <c r="P75" s="17">
        <f t="shared" si="33"/>
        <v>45068</v>
      </c>
      <c r="Q75" s="4"/>
      <c r="R75" s="19">
        <f t="shared" si="31"/>
        <v>45070</v>
      </c>
      <c r="S75" s="20"/>
      <c r="T75" s="19">
        <f t="shared" si="32"/>
        <v>45071</v>
      </c>
      <c r="U75" s="8"/>
      <c r="V75" s="8"/>
      <c r="W75" s="17">
        <v>45073</v>
      </c>
      <c r="X75" s="8"/>
      <c r="Y75" s="21"/>
      <c r="Z75" s="17">
        <v>45077</v>
      </c>
      <c r="AA75" s="8"/>
      <c r="AB75" s="21"/>
      <c r="AC75" s="8"/>
      <c r="AD75" s="8"/>
      <c r="AE75" s="8"/>
      <c r="AF75" s="8"/>
    </row>
    <row r="76" spans="1:32" ht="30" hidden="1">
      <c r="A76" s="8">
        <v>73</v>
      </c>
      <c r="B76" s="55"/>
      <c r="C76" s="8" t="s">
        <v>163</v>
      </c>
      <c r="D76" s="8" t="s">
        <v>41</v>
      </c>
      <c r="E76" s="8" t="s">
        <v>42</v>
      </c>
      <c r="F76" s="8"/>
      <c r="G76" s="9" t="s">
        <v>66</v>
      </c>
      <c r="H76" s="6"/>
      <c r="I76" s="4" t="s">
        <v>44</v>
      </c>
      <c r="J76" s="9">
        <v>45065</v>
      </c>
      <c r="K76" s="58"/>
      <c r="L76" s="16" t="s">
        <v>46</v>
      </c>
      <c r="M76" s="17">
        <f t="shared" si="30"/>
        <v>45067</v>
      </c>
      <c r="N76" s="8"/>
      <c r="O76" s="8" t="s">
        <v>47</v>
      </c>
      <c r="P76" s="17">
        <f t="shared" si="33"/>
        <v>45068</v>
      </c>
      <c r="Q76" s="4"/>
      <c r="R76" s="19">
        <f t="shared" si="31"/>
        <v>45070</v>
      </c>
      <c r="S76" s="20"/>
      <c r="T76" s="19">
        <f t="shared" si="32"/>
        <v>45071</v>
      </c>
      <c r="U76" s="8"/>
      <c r="V76" s="8"/>
      <c r="W76" s="17">
        <v>45073</v>
      </c>
      <c r="X76" s="8"/>
      <c r="Y76" s="21"/>
      <c r="Z76" s="17">
        <v>45077</v>
      </c>
      <c r="AA76" s="8"/>
      <c r="AB76" s="21"/>
      <c r="AC76" s="8"/>
      <c r="AD76" s="8"/>
      <c r="AE76" s="8"/>
      <c r="AF76" s="8"/>
    </row>
    <row r="77" spans="1:32" ht="30" hidden="1">
      <c r="A77" s="4">
        <v>74</v>
      </c>
      <c r="B77" s="55"/>
      <c r="C77" s="8" t="s">
        <v>164</v>
      </c>
      <c r="D77" s="8" t="s">
        <v>41</v>
      </c>
      <c r="E77" s="8" t="s">
        <v>42</v>
      </c>
      <c r="F77" s="8"/>
      <c r="G77" s="9" t="s">
        <v>66</v>
      </c>
      <c r="H77" s="6"/>
      <c r="I77" s="4" t="s">
        <v>44</v>
      </c>
      <c r="J77" s="9">
        <v>45065</v>
      </c>
      <c r="K77" s="58"/>
      <c r="L77" s="16" t="s">
        <v>46</v>
      </c>
      <c r="M77" s="17">
        <f t="shared" si="30"/>
        <v>45067</v>
      </c>
      <c r="N77" s="8"/>
      <c r="O77" s="8" t="s">
        <v>47</v>
      </c>
      <c r="P77" s="17">
        <f t="shared" si="33"/>
        <v>45068</v>
      </c>
      <c r="Q77" s="4"/>
      <c r="R77" s="19">
        <f t="shared" si="31"/>
        <v>45070</v>
      </c>
      <c r="S77" s="20"/>
      <c r="T77" s="19">
        <f t="shared" si="32"/>
        <v>45071</v>
      </c>
      <c r="U77" s="8"/>
      <c r="V77" s="8"/>
      <c r="W77" s="17">
        <v>45073</v>
      </c>
      <c r="X77" s="8"/>
      <c r="Y77" s="21"/>
      <c r="Z77" s="17">
        <v>45077</v>
      </c>
      <c r="AA77" s="8"/>
      <c r="AB77" s="21"/>
      <c r="AC77" s="8"/>
      <c r="AD77" s="8"/>
      <c r="AE77" s="8"/>
      <c r="AF77" s="8"/>
    </row>
    <row r="78" spans="1:32" ht="30" hidden="1">
      <c r="A78" s="8">
        <v>75</v>
      </c>
      <c r="B78" s="55"/>
      <c r="C78" s="8" t="s">
        <v>165</v>
      </c>
      <c r="D78" s="8" t="s">
        <v>41</v>
      </c>
      <c r="E78" s="8" t="s">
        <v>42</v>
      </c>
      <c r="F78" s="8"/>
      <c r="G78" s="9" t="s">
        <v>66</v>
      </c>
      <c r="H78" s="6"/>
      <c r="I78" s="4" t="s">
        <v>44</v>
      </c>
      <c r="J78" s="9">
        <v>45065</v>
      </c>
      <c r="K78" s="58"/>
      <c r="L78" s="16" t="s">
        <v>46</v>
      </c>
      <c r="M78" s="17">
        <f t="shared" si="30"/>
        <v>45067</v>
      </c>
      <c r="N78" s="8"/>
      <c r="O78" s="8" t="s">
        <v>47</v>
      </c>
      <c r="P78" s="17">
        <f t="shared" si="33"/>
        <v>45068</v>
      </c>
      <c r="Q78" s="4"/>
      <c r="R78" s="19">
        <f t="shared" si="31"/>
        <v>45070</v>
      </c>
      <c r="S78" s="20"/>
      <c r="T78" s="19">
        <f t="shared" si="32"/>
        <v>45071</v>
      </c>
      <c r="U78" s="8"/>
      <c r="V78" s="8"/>
      <c r="W78" s="17">
        <v>45073</v>
      </c>
      <c r="X78" s="8"/>
      <c r="Y78" s="21"/>
      <c r="Z78" s="17">
        <v>45077</v>
      </c>
      <c r="AA78" s="8"/>
      <c r="AB78" s="21"/>
      <c r="AC78" s="8"/>
      <c r="AD78" s="8"/>
      <c r="AE78" s="8"/>
      <c r="AF78" s="8"/>
    </row>
    <row r="79" spans="1:32" ht="30" hidden="1">
      <c r="A79" s="4">
        <v>76</v>
      </c>
      <c r="B79" s="55"/>
      <c r="C79" s="8" t="s">
        <v>166</v>
      </c>
      <c r="D79" s="8" t="s">
        <v>41</v>
      </c>
      <c r="E79" s="8" t="s">
        <v>42</v>
      </c>
      <c r="F79" s="8"/>
      <c r="G79" s="9" t="s">
        <v>66</v>
      </c>
      <c r="H79" s="6"/>
      <c r="I79" s="4" t="s">
        <v>44</v>
      </c>
      <c r="J79" s="9">
        <v>45065</v>
      </c>
      <c r="K79" s="58"/>
      <c r="L79" s="16" t="s">
        <v>46</v>
      </c>
      <c r="M79" s="17">
        <f t="shared" si="30"/>
        <v>45067</v>
      </c>
      <c r="N79" s="8"/>
      <c r="O79" s="8" t="s">
        <v>47</v>
      </c>
      <c r="P79" s="17">
        <f t="shared" si="33"/>
        <v>45068</v>
      </c>
      <c r="Q79" s="4"/>
      <c r="R79" s="19">
        <f t="shared" si="31"/>
        <v>45070</v>
      </c>
      <c r="S79" s="20"/>
      <c r="T79" s="19">
        <f t="shared" si="32"/>
        <v>45071</v>
      </c>
      <c r="U79" s="8"/>
      <c r="V79" s="8"/>
      <c r="W79" s="17">
        <v>45073</v>
      </c>
      <c r="X79" s="8"/>
      <c r="Y79" s="21"/>
      <c r="Z79" s="17">
        <v>45077</v>
      </c>
      <c r="AA79" s="8"/>
      <c r="AB79" s="21"/>
      <c r="AC79" s="8"/>
      <c r="AD79" s="8"/>
      <c r="AE79" s="8"/>
      <c r="AF79" s="8"/>
    </row>
    <row r="80" spans="1:32" ht="30" hidden="1">
      <c r="A80" s="8">
        <v>77</v>
      </c>
      <c r="B80" s="55"/>
      <c r="C80" s="8" t="s">
        <v>167</v>
      </c>
      <c r="D80" s="8" t="s">
        <v>41</v>
      </c>
      <c r="E80" s="8" t="s">
        <v>42</v>
      </c>
      <c r="F80" s="8"/>
      <c r="G80" s="9" t="s">
        <v>66</v>
      </c>
      <c r="H80" s="6"/>
      <c r="I80" s="4" t="s">
        <v>44</v>
      </c>
      <c r="J80" s="9">
        <v>45065</v>
      </c>
      <c r="K80" s="58"/>
      <c r="L80" s="16" t="s">
        <v>46</v>
      </c>
      <c r="M80" s="17">
        <f t="shared" si="30"/>
        <v>45067</v>
      </c>
      <c r="N80" s="8"/>
      <c r="O80" s="8" t="s">
        <v>47</v>
      </c>
      <c r="P80" s="17">
        <f t="shared" si="33"/>
        <v>45068</v>
      </c>
      <c r="Q80" s="4"/>
      <c r="R80" s="19">
        <f t="shared" si="31"/>
        <v>45070</v>
      </c>
      <c r="S80" s="20"/>
      <c r="T80" s="19">
        <f t="shared" si="32"/>
        <v>45071</v>
      </c>
      <c r="U80" s="8"/>
      <c r="V80" s="8"/>
      <c r="W80" s="17">
        <v>45073</v>
      </c>
      <c r="X80" s="8"/>
      <c r="Y80" s="21"/>
      <c r="Z80" s="17">
        <v>45077</v>
      </c>
      <c r="AA80" s="8"/>
      <c r="AB80" s="21"/>
      <c r="AC80" s="8"/>
      <c r="AD80" s="8"/>
      <c r="AE80" s="8"/>
      <c r="AF80" s="8"/>
    </row>
    <row r="81" spans="1:32" ht="30" hidden="1">
      <c r="A81" s="4">
        <v>78</v>
      </c>
      <c r="B81" s="55"/>
      <c r="C81" s="8" t="s">
        <v>168</v>
      </c>
      <c r="D81" s="8" t="s">
        <v>41</v>
      </c>
      <c r="E81" s="8" t="s">
        <v>42</v>
      </c>
      <c r="F81" s="8"/>
      <c r="G81" s="9" t="s">
        <v>66</v>
      </c>
      <c r="H81" s="6"/>
      <c r="I81" s="4" t="s">
        <v>44</v>
      </c>
      <c r="J81" s="9">
        <v>45065</v>
      </c>
      <c r="K81" s="58"/>
      <c r="L81" s="16" t="s">
        <v>46</v>
      </c>
      <c r="M81" s="17">
        <f t="shared" si="30"/>
        <v>45067</v>
      </c>
      <c r="N81" s="8"/>
      <c r="O81" s="8" t="s">
        <v>47</v>
      </c>
      <c r="P81" s="17">
        <f t="shared" si="33"/>
        <v>45068</v>
      </c>
      <c r="Q81" s="4"/>
      <c r="R81" s="19">
        <f t="shared" si="31"/>
        <v>45070</v>
      </c>
      <c r="S81" s="20"/>
      <c r="T81" s="19">
        <f t="shared" si="32"/>
        <v>45071</v>
      </c>
      <c r="U81" s="8"/>
      <c r="V81" s="8"/>
      <c r="W81" s="17">
        <v>45073</v>
      </c>
      <c r="X81" s="8"/>
      <c r="Y81" s="21"/>
      <c r="Z81" s="17">
        <v>45077</v>
      </c>
      <c r="AA81" s="8"/>
      <c r="AB81" s="21"/>
      <c r="AC81" s="8"/>
      <c r="AD81" s="8"/>
      <c r="AE81" s="8"/>
      <c r="AF81" s="8"/>
    </row>
    <row r="82" spans="1:32" ht="30" hidden="1">
      <c r="A82" s="8">
        <v>79</v>
      </c>
      <c r="B82" s="55"/>
      <c r="C82" s="8" t="s">
        <v>169</v>
      </c>
      <c r="D82" s="8" t="s">
        <v>41</v>
      </c>
      <c r="E82" s="8" t="s">
        <v>42</v>
      </c>
      <c r="F82" s="8"/>
      <c r="G82" s="9" t="s">
        <v>66</v>
      </c>
      <c r="H82" s="23" t="s">
        <v>142</v>
      </c>
      <c r="I82" s="4" t="s">
        <v>44</v>
      </c>
      <c r="J82" s="9">
        <v>45065</v>
      </c>
      <c r="K82" s="58" t="s">
        <v>170</v>
      </c>
      <c r="L82" s="16" t="s">
        <v>46</v>
      </c>
      <c r="M82" s="17">
        <f t="shared" si="30"/>
        <v>45067</v>
      </c>
      <c r="N82" s="8"/>
      <c r="O82" s="8" t="s">
        <v>47</v>
      </c>
      <c r="P82" s="17">
        <f t="shared" si="33"/>
        <v>45068</v>
      </c>
      <c r="Q82" s="4"/>
      <c r="R82" s="19">
        <f t="shared" si="31"/>
        <v>45070</v>
      </c>
      <c r="S82" s="20"/>
      <c r="T82" s="19">
        <f t="shared" si="32"/>
        <v>45071</v>
      </c>
      <c r="U82" s="8"/>
      <c r="V82" s="8"/>
      <c r="W82" s="17">
        <v>45073</v>
      </c>
      <c r="X82" s="8"/>
      <c r="Y82" s="21"/>
      <c r="Z82" s="17">
        <v>45077</v>
      </c>
      <c r="AA82" s="8"/>
      <c r="AB82" s="21"/>
      <c r="AC82" s="8"/>
      <c r="AD82" s="8"/>
      <c r="AE82" s="8"/>
      <c r="AF82" s="8"/>
    </row>
    <row r="83" spans="1:32" ht="30" hidden="1">
      <c r="A83" s="4">
        <v>80</v>
      </c>
      <c r="B83" s="55"/>
      <c r="C83" s="8" t="s">
        <v>171</v>
      </c>
      <c r="D83" s="8" t="s">
        <v>41</v>
      </c>
      <c r="E83" s="8" t="s">
        <v>42</v>
      </c>
      <c r="F83" s="8"/>
      <c r="G83" s="9" t="s">
        <v>66</v>
      </c>
      <c r="H83" s="23" t="s">
        <v>142</v>
      </c>
      <c r="I83" s="4" t="s">
        <v>44</v>
      </c>
      <c r="J83" s="9">
        <v>45065</v>
      </c>
      <c r="K83" s="58"/>
      <c r="L83" s="16" t="s">
        <v>46</v>
      </c>
      <c r="M83" s="17">
        <f t="shared" si="30"/>
        <v>45067</v>
      </c>
      <c r="N83" s="8"/>
      <c r="O83" s="8" t="s">
        <v>47</v>
      </c>
      <c r="P83" s="17">
        <f t="shared" si="33"/>
        <v>45068</v>
      </c>
      <c r="Q83" s="4"/>
      <c r="R83" s="19">
        <f t="shared" si="31"/>
        <v>45070</v>
      </c>
      <c r="S83" s="20"/>
      <c r="T83" s="19">
        <f t="shared" si="32"/>
        <v>45071</v>
      </c>
      <c r="U83" s="8"/>
      <c r="V83" s="8"/>
      <c r="W83" s="17">
        <v>45073</v>
      </c>
      <c r="X83" s="8"/>
      <c r="Y83" s="21"/>
      <c r="Z83" s="17">
        <v>45077</v>
      </c>
      <c r="AA83" s="8"/>
      <c r="AB83" s="21"/>
      <c r="AC83" s="8"/>
      <c r="AD83" s="8"/>
      <c r="AE83" s="8"/>
      <c r="AF83" s="8"/>
    </row>
    <row r="84" spans="1:32" ht="30" hidden="1">
      <c r="A84" s="8">
        <v>81</v>
      </c>
      <c r="B84" s="55"/>
      <c r="C84" s="8" t="s">
        <v>172</v>
      </c>
      <c r="D84" s="8" t="s">
        <v>41</v>
      </c>
      <c r="E84" s="8" t="s">
        <v>42</v>
      </c>
      <c r="F84" s="8"/>
      <c r="G84" s="9" t="s">
        <v>66</v>
      </c>
      <c r="H84" s="23" t="s">
        <v>142</v>
      </c>
      <c r="I84" s="4" t="s">
        <v>44</v>
      </c>
      <c r="J84" s="9">
        <v>45065</v>
      </c>
      <c r="K84" s="58"/>
      <c r="L84" s="16" t="s">
        <v>46</v>
      </c>
      <c r="M84" s="17">
        <f t="shared" si="30"/>
        <v>45067</v>
      </c>
      <c r="N84" s="8"/>
      <c r="O84" s="8" t="s">
        <v>47</v>
      </c>
      <c r="P84" s="17">
        <f t="shared" si="33"/>
        <v>45068</v>
      </c>
      <c r="Q84" s="4"/>
      <c r="R84" s="19">
        <f t="shared" si="31"/>
        <v>45070</v>
      </c>
      <c r="S84" s="20"/>
      <c r="T84" s="19">
        <f t="shared" si="32"/>
        <v>45071</v>
      </c>
      <c r="U84" s="8"/>
      <c r="V84" s="8"/>
      <c r="W84" s="17">
        <v>45073</v>
      </c>
      <c r="X84" s="8"/>
      <c r="Y84" s="21"/>
      <c r="Z84" s="17">
        <v>45077</v>
      </c>
      <c r="AA84" s="8"/>
      <c r="AB84" s="21"/>
      <c r="AC84" s="8"/>
      <c r="AD84" s="8"/>
      <c r="AE84" s="8"/>
      <c r="AF84" s="8"/>
    </row>
    <row r="85" spans="1:32" ht="30" hidden="1">
      <c r="A85" s="4">
        <v>82</v>
      </c>
      <c r="B85" s="55"/>
      <c r="C85" s="8" t="s">
        <v>173</v>
      </c>
      <c r="D85" s="8" t="s">
        <v>41</v>
      </c>
      <c r="E85" s="8" t="s">
        <v>42</v>
      </c>
      <c r="F85" s="8"/>
      <c r="G85" s="9" t="s">
        <v>66</v>
      </c>
      <c r="H85" s="23" t="s">
        <v>142</v>
      </c>
      <c r="I85" s="4" t="s">
        <v>44</v>
      </c>
      <c r="J85" s="9">
        <v>45065</v>
      </c>
      <c r="K85" s="58"/>
      <c r="L85" s="16" t="s">
        <v>46</v>
      </c>
      <c r="M85" s="17">
        <f t="shared" si="30"/>
        <v>45067</v>
      </c>
      <c r="N85" s="8"/>
      <c r="O85" s="8" t="s">
        <v>47</v>
      </c>
      <c r="P85" s="17">
        <f t="shared" si="33"/>
        <v>45068</v>
      </c>
      <c r="Q85" s="4"/>
      <c r="R85" s="19">
        <f t="shared" si="31"/>
        <v>45070</v>
      </c>
      <c r="S85" s="20"/>
      <c r="T85" s="19">
        <f t="shared" si="32"/>
        <v>45071</v>
      </c>
      <c r="U85" s="8"/>
      <c r="V85" s="8"/>
      <c r="W85" s="17">
        <v>45073</v>
      </c>
      <c r="X85" s="8"/>
      <c r="Y85" s="21"/>
      <c r="Z85" s="17">
        <v>45077</v>
      </c>
      <c r="AA85" s="8"/>
      <c r="AB85" s="21"/>
      <c r="AC85" s="8"/>
      <c r="AD85" s="8"/>
      <c r="AE85" s="8"/>
      <c r="AF85" s="8"/>
    </row>
    <row r="86" spans="1:32" ht="30" hidden="1">
      <c r="A86" s="8">
        <v>83</v>
      </c>
      <c r="B86" s="55" t="s">
        <v>174</v>
      </c>
      <c r="C86" s="8" t="s">
        <v>175</v>
      </c>
      <c r="D86" s="8" t="s">
        <v>41</v>
      </c>
      <c r="E86" s="8" t="s">
        <v>42</v>
      </c>
      <c r="F86" s="8"/>
      <c r="G86" s="9" t="s">
        <v>66</v>
      </c>
      <c r="H86" s="6" t="s">
        <v>176</v>
      </c>
      <c r="I86" s="4" t="s">
        <v>44</v>
      </c>
      <c r="J86" s="9">
        <v>45066</v>
      </c>
      <c r="K86" s="15" t="s">
        <v>177</v>
      </c>
      <c r="L86" s="16" t="s">
        <v>46</v>
      </c>
      <c r="M86" s="17">
        <f t="shared" ref="M86:M93" si="34">J86+1</f>
        <v>45067</v>
      </c>
      <c r="N86" s="8"/>
      <c r="O86" s="8" t="s">
        <v>47</v>
      </c>
      <c r="P86" s="17">
        <f t="shared" si="33"/>
        <v>45068</v>
      </c>
      <c r="Q86" s="4"/>
      <c r="R86" s="19">
        <f t="shared" si="31"/>
        <v>45070</v>
      </c>
      <c r="S86" s="20"/>
      <c r="T86" s="19">
        <f t="shared" si="32"/>
        <v>45071</v>
      </c>
      <c r="U86" s="8"/>
      <c r="V86" s="8"/>
      <c r="W86" s="17">
        <v>45073</v>
      </c>
      <c r="X86" s="8"/>
      <c r="Y86" s="21"/>
      <c r="Z86" s="17">
        <v>45077</v>
      </c>
      <c r="AA86" s="8"/>
      <c r="AB86" s="21"/>
      <c r="AC86" s="8"/>
      <c r="AD86" s="8"/>
      <c r="AE86" s="8"/>
      <c r="AF86" s="8"/>
    </row>
    <row r="87" spans="1:32" ht="30" hidden="1">
      <c r="A87" s="4">
        <v>84</v>
      </c>
      <c r="B87" s="55"/>
      <c r="C87" s="8" t="s">
        <v>178</v>
      </c>
      <c r="D87" s="8" t="s">
        <v>41</v>
      </c>
      <c r="E87" s="8" t="s">
        <v>42</v>
      </c>
      <c r="F87" s="8"/>
      <c r="G87" s="9" t="s">
        <v>66</v>
      </c>
      <c r="H87" s="6" t="s">
        <v>176</v>
      </c>
      <c r="I87" s="4" t="s">
        <v>44</v>
      </c>
      <c r="J87" s="9">
        <v>45066</v>
      </c>
      <c r="K87" s="15" t="s">
        <v>177</v>
      </c>
      <c r="L87" s="16" t="s">
        <v>46</v>
      </c>
      <c r="M87" s="17">
        <f t="shared" si="34"/>
        <v>45067</v>
      </c>
      <c r="N87" s="8"/>
      <c r="O87" s="8" t="s">
        <v>47</v>
      </c>
      <c r="P87" s="17">
        <f t="shared" si="33"/>
        <v>45068</v>
      </c>
      <c r="Q87" s="4"/>
      <c r="R87" s="19">
        <f t="shared" si="31"/>
        <v>45070</v>
      </c>
      <c r="S87" s="20"/>
      <c r="T87" s="19">
        <f t="shared" si="32"/>
        <v>45071</v>
      </c>
      <c r="U87" s="8"/>
      <c r="V87" s="8"/>
      <c r="W87" s="17">
        <v>45073</v>
      </c>
      <c r="X87" s="8"/>
      <c r="Y87" s="21"/>
      <c r="Z87" s="17">
        <v>45077</v>
      </c>
      <c r="AA87" s="8"/>
      <c r="AB87" s="21"/>
      <c r="AC87" s="8"/>
      <c r="AD87" s="8"/>
      <c r="AE87" s="8"/>
      <c r="AF87" s="8"/>
    </row>
    <row r="88" spans="1:32" ht="30" hidden="1">
      <c r="A88" s="8">
        <v>85</v>
      </c>
      <c r="B88" s="55"/>
      <c r="C88" s="8" t="s">
        <v>179</v>
      </c>
      <c r="D88" s="8" t="s">
        <v>41</v>
      </c>
      <c r="E88" s="8" t="s">
        <v>42</v>
      </c>
      <c r="F88" s="8"/>
      <c r="G88" s="9" t="s">
        <v>66</v>
      </c>
      <c r="H88" s="6" t="s">
        <v>176</v>
      </c>
      <c r="I88" s="4" t="s">
        <v>44</v>
      </c>
      <c r="J88" s="9">
        <v>45066</v>
      </c>
      <c r="K88" s="15" t="s">
        <v>177</v>
      </c>
      <c r="L88" s="16" t="s">
        <v>46</v>
      </c>
      <c r="M88" s="17">
        <f t="shared" si="34"/>
        <v>45067</v>
      </c>
      <c r="N88" s="8"/>
      <c r="O88" s="8" t="s">
        <v>47</v>
      </c>
      <c r="P88" s="17">
        <f t="shared" si="33"/>
        <v>45068</v>
      </c>
      <c r="Q88" s="4"/>
      <c r="R88" s="19">
        <f t="shared" si="31"/>
        <v>45070</v>
      </c>
      <c r="S88" s="20"/>
      <c r="T88" s="19">
        <f t="shared" si="32"/>
        <v>45071</v>
      </c>
      <c r="U88" s="8"/>
      <c r="V88" s="8"/>
      <c r="W88" s="17">
        <v>45073</v>
      </c>
      <c r="X88" s="8"/>
      <c r="Y88" s="21"/>
      <c r="Z88" s="17">
        <v>45077</v>
      </c>
      <c r="AA88" s="8"/>
      <c r="AB88" s="21"/>
      <c r="AC88" s="8"/>
      <c r="AD88" s="8"/>
      <c r="AE88" s="8"/>
      <c r="AF88" s="8"/>
    </row>
    <row r="89" spans="1:32" ht="30" hidden="1">
      <c r="A89" s="4">
        <v>86</v>
      </c>
      <c r="B89" s="55"/>
      <c r="C89" s="8" t="s">
        <v>180</v>
      </c>
      <c r="D89" s="8" t="s">
        <v>41</v>
      </c>
      <c r="E89" s="8" t="s">
        <v>42</v>
      </c>
      <c r="F89" s="8"/>
      <c r="G89" s="9" t="s">
        <v>66</v>
      </c>
      <c r="H89" s="6" t="s">
        <v>176</v>
      </c>
      <c r="I89" s="4" t="s">
        <v>44</v>
      </c>
      <c r="J89" s="9">
        <v>45066</v>
      </c>
      <c r="K89" s="15" t="s">
        <v>177</v>
      </c>
      <c r="L89" s="16" t="s">
        <v>46</v>
      </c>
      <c r="M89" s="17">
        <f t="shared" si="34"/>
        <v>45067</v>
      </c>
      <c r="N89" s="8"/>
      <c r="O89" s="8" t="s">
        <v>47</v>
      </c>
      <c r="P89" s="17">
        <f t="shared" si="33"/>
        <v>45068</v>
      </c>
      <c r="Q89" s="4"/>
      <c r="R89" s="19">
        <f t="shared" si="31"/>
        <v>45070</v>
      </c>
      <c r="S89" s="20"/>
      <c r="T89" s="19">
        <f t="shared" si="32"/>
        <v>45071</v>
      </c>
      <c r="U89" s="8"/>
      <c r="V89" s="8"/>
      <c r="W89" s="17">
        <v>45073</v>
      </c>
      <c r="X89" s="8"/>
      <c r="Y89" s="21"/>
      <c r="Z89" s="17">
        <v>45077</v>
      </c>
      <c r="AA89" s="8"/>
      <c r="AB89" s="21"/>
      <c r="AC89" s="8"/>
      <c r="AD89" s="8"/>
      <c r="AE89" s="8"/>
      <c r="AF89" s="8"/>
    </row>
    <row r="90" spans="1:32" ht="30" hidden="1">
      <c r="A90" s="8">
        <v>87</v>
      </c>
      <c r="B90" s="55"/>
      <c r="C90" s="8" t="s">
        <v>181</v>
      </c>
      <c r="D90" s="8" t="s">
        <v>41</v>
      </c>
      <c r="E90" s="8" t="s">
        <v>42</v>
      </c>
      <c r="F90" s="8"/>
      <c r="G90" s="9" t="s">
        <v>66</v>
      </c>
      <c r="H90" s="6" t="s">
        <v>176</v>
      </c>
      <c r="I90" s="4" t="s">
        <v>44</v>
      </c>
      <c r="J90" s="9">
        <v>45066</v>
      </c>
      <c r="K90" s="15" t="s">
        <v>177</v>
      </c>
      <c r="L90" s="16" t="s">
        <v>46</v>
      </c>
      <c r="M90" s="17">
        <f t="shared" si="34"/>
        <v>45067</v>
      </c>
      <c r="N90" s="8"/>
      <c r="O90" s="8" t="s">
        <v>47</v>
      </c>
      <c r="P90" s="17">
        <f t="shared" si="33"/>
        <v>45068</v>
      </c>
      <c r="Q90" s="4"/>
      <c r="R90" s="19">
        <f t="shared" si="31"/>
        <v>45070</v>
      </c>
      <c r="S90" s="20"/>
      <c r="T90" s="19">
        <f t="shared" si="32"/>
        <v>45071</v>
      </c>
      <c r="U90" s="8"/>
      <c r="V90" s="8"/>
      <c r="W90" s="17">
        <v>45073</v>
      </c>
      <c r="X90" s="8"/>
      <c r="Y90" s="21"/>
      <c r="Z90" s="17">
        <v>45077</v>
      </c>
      <c r="AA90" s="8"/>
      <c r="AB90" s="21"/>
      <c r="AC90" s="8"/>
      <c r="AD90" s="8"/>
      <c r="AE90" s="8"/>
      <c r="AF90" s="8"/>
    </row>
    <row r="91" spans="1:32" ht="30" hidden="1">
      <c r="A91" s="4">
        <v>88</v>
      </c>
      <c r="B91" s="55"/>
      <c r="C91" s="8" t="s">
        <v>182</v>
      </c>
      <c r="D91" s="8" t="s">
        <v>41</v>
      </c>
      <c r="E91" s="8" t="s">
        <v>42</v>
      </c>
      <c r="F91" s="8"/>
      <c r="G91" s="9" t="s">
        <v>66</v>
      </c>
      <c r="H91" s="6" t="s">
        <v>176</v>
      </c>
      <c r="I91" s="4" t="s">
        <v>44</v>
      </c>
      <c r="J91" s="9">
        <v>45066</v>
      </c>
      <c r="K91" s="15" t="s">
        <v>177</v>
      </c>
      <c r="L91" s="16" t="s">
        <v>46</v>
      </c>
      <c r="M91" s="17">
        <f t="shared" si="34"/>
        <v>45067</v>
      </c>
      <c r="N91" s="8"/>
      <c r="O91" s="8" t="s">
        <v>47</v>
      </c>
      <c r="P91" s="17">
        <f t="shared" si="33"/>
        <v>45068</v>
      </c>
      <c r="Q91" s="4"/>
      <c r="R91" s="19">
        <f t="shared" si="31"/>
        <v>45070</v>
      </c>
      <c r="S91" s="20"/>
      <c r="T91" s="19">
        <f t="shared" si="32"/>
        <v>45071</v>
      </c>
      <c r="U91" s="8"/>
      <c r="V91" s="8"/>
      <c r="W91" s="17">
        <v>45073</v>
      </c>
      <c r="X91" s="8"/>
      <c r="Y91" s="21"/>
      <c r="Z91" s="17">
        <v>45077</v>
      </c>
      <c r="AA91" s="8"/>
      <c r="AB91" s="21"/>
      <c r="AC91" s="8"/>
      <c r="AD91" s="8"/>
      <c r="AE91" s="8"/>
      <c r="AF91" s="8"/>
    </row>
    <row r="92" spans="1:32" ht="30" hidden="1">
      <c r="A92" s="8">
        <v>89</v>
      </c>
      <c r="B92" s="55"/>
      <c r="C92" s="8" t="s">
        <v>183</v>
      </c>
      <c r="D92" s="8" t="s">
        <v>41</v>
      </c>
      <c r="E92" s="8" t="s">
        <v>42</v>
      </c>
      <c r="F92" s="8"/>
      <c r="G92" s="9" t="s">
        <v>66</v>
      </c>
      <c r="H92" s="6" t="s">
        <v>176</v>
      </c>
      <c r="I92" s="4" t="s">
        <v>44</v>
      </c>
      <c r="J92" s="9">
        <v>45066</v>
      </c>
      <c r="K92" s="15" t="s">
        <v>177</v>
      </c>
      <c r="L92" s="16" t="s">
        <v>46</v>
      </c>
      <c r="M92" s="17">
        <f t="shared" si="34"/>
        <v>45067</v>
      </c>
      <c r="N92" s="8"/>
      <c r="O92" s="8" t="s">
        <v>47</v>
      </c>
      <c r="P92" s="17">
        <f t="shared" si="33"/>
        <v>45068</v>
      </c>
      <c r="Q92" s="4"/>
      <c r="R92" s="19">
        <f t="shared" si="31"/>
        <v>45070</v>
      </c>
      <c r="S92" s="20"/>
      <c r="T92" s="19">
        <f t="shared" si="32"/>
        <v>45071</v>
      </c>
      <c r="U92" s="8"/>
      <c r="V92" s="8"/>
      <c r="W92" s="17">
        <v>45073</v>
      </c>
      <c r="X92" s="8"/>
      <c r="Y92" s="21"/>
      <c r="Z92" s="17">
        <v>45077</v>
      </c>
      <c r="AA92" s="8"/>
      <c r="AB92" s="21"/>
      <c r="AC92" s="8"/>
      <c r="AD92" s="8"/>
      <c r="AE92" s="8"/>
      <c r="AF92" s="8"/>
    </row>
    <row r="93" spans="1:32" ht="30" hidden="1">
      <c r="A93" s="4">
        <v>90</v>
      </c>
      <c r="B93" s="55"/>
      <c r="C93" s="8" t="s">
        <v>184</v>
      </c>
      <c r="D93" s="8" t="s">
        <v>41</v>
      </c>
      <c r="E93" s="8" t="s">
        <v>42</v>
      </c>
      <c r="F93" s="8"/>
      <c r="G93" s="9" t="s">
        <v>66</v>
      </c>
      <c r="H93" s="6" t="s">
        <v>176</v>
      </c>
      <c r="I93" s="4" t="s">
        <v>44</v>
      </c>
      <c r="J93" s="9">
        <v>45066</v>
      </c>
      <c r="K93" s="15" t="s">
        <v>177</v>
      </c>
      <c r="L93" s="16" t="s">
        <v>46</v>
      </c>
      <c r="M93" s="17">
        <f t="shared" si="34"/>
        <v>45067</v>
      </c>
      <c r="N93" s="8"/>
      <c r="O93" s="8" t="s">
        <v>47</v>
      </c>
      <c r="P93" s="17">
        <f t="shared" si="33"/>
        <v>45068</v>
      </c>
      <c r="Q93" s="4"/>
      <c r="R93" s="19">
        <f t="shared" si="31"/>
        <v>45070</v>
      </c>
      <c r="S93" s="20"/>
      <c r="T93" s="19">
        <f t="shared" si="32"/>
        <v>45071</v>
      </c>
      <c r="U93" s="8"/>
      <c r="V93" s="8"/>
      <c r="W93" s="17">
        <v>45073</v>
      </c>
      <c r="X93" s="8"/>
      <c r="Y93" s="21"/>
      <c r="Z93" s="17">
        <v>45077</v>
      </c>
      <c r="AA93" s="8"/>
      <c r="AB93" s="21"/>
      <c r="AC93" s="8"/>
      <c r="AD93" s="8"/>
      <c r="AE93" s="8"/>
      <c r="AF93" s="8"/>
    </row>
    <row r="94" spans="1:32" ht="30" hidden="1">
      <c r="A94" s="8">
        <v>91</v>
      </c>
      <c r="B94" s="8" t="s">
        <v>185</v>
      </c>
      <c r="C94" s="8" t="s">
        <v>186</v>
      </c>
      <c r="D94" s="8" t="s">
        <v>41</v>
      </c>
      <c r="E94" s="8" t="s">
        <v>42</v>
      </c>
      <c r="F94" s="8"/>
      <c r="G94" s="9" t="s">
        <v>66</v>
      </c>
      <c r="H94" s="6"/>
      <c r="I94" s="4" t="s">
        <v>44</v>
      </c>
      <c r="J94" s="9">
        <v>45068</v>
      </c>
      <c r="K94" s="15" t="s">
        <v>187</v>
      </c>
      <c r="L94" s="16" t="s">
        <v>46</v>
      </c>
      <c r="M94" s="17">
        <f t="shared" si="30"/>
        <v>45070</v>
      </c>
      <c r="N94" s="8"/>
      <c r="O94" s="8" t="s">
        <v>47</v>
      </c>
      <c r="P94" s="17">
        <v>45071</v>
      </c>
      <c r="Q94" s="8"/>
      <c r="R94" s="17">
        <v>45071</v>
      </c>
      <c r="S94" s="8"/>
      <c r="T94" s="17">
        <v>45071</v>
      </c>
      <c r="U94" s="8"/>
      <c r="V94" s="8"/>
      <c r="W94" s="17">
        <v>45073</v>
      </c>
      <c r="X94" s="8"/>
      <c r="Y94" s="21"/>
      <c r="Z94" s="17">
        <v>45077</v>
      </c>
      <c r="AA94" s="8"/>
      <c r="AB94" s="21"/>
      <c r="AC94" s="8"/>
      <c r="AD94" s="8"/>
      <c r="AE94" s="8"/>
      <c r="AF94" s="8"/>
    </row>
    <row r="95" spans="1:32" ht="30" hidden="1">
      <c r="A95" s="4">
        <v>92</v>
      </c>
      <c r="B95" s="55" t="s">
        <v>188</v>
      </c>
      <c r="C95" s="8" t="s">
        <v>189</v>
      </c>
      <c r="D95" s="8" t="s">
        <v>41</v>
      </c>
      <c r="E95" s="8" t="s">
        <v>42</v>
      </c>
      <c r="F95" s="8"/>
      <c r="G95" s="11">
        <v>45034</v>
      </c>
      <c r="H95" s="6" t="s">
        <v>190</v>
      </c>
      <c r="I95" s="4"/>
      <c r="J95" s="9"/>
      <c r="K95" s="15"/>
      <c r="L95" s="16" t="s">
        <v>46</v>
      </c>
      <c r="M95" s="17"/>
      <c r="N95" s="8"/>
      <c r="O95" s="8" t="s">
        <v>47</v>
      </c>
      <c r="P95" s="17"/>
      <c r="Q95" s="8"/>
      <c r="R95" s="17"/>
      <c r="S95" s="8"/>
      <c r="T95" s="17"/>
      <c r="U95" s="8"/>
      <c r="V95" s="8"/>
      <c r="W95" s="17">
        <v>45073</v>
      </c>
      <c r="X95" s="8"/>
      <c r="Y95" s="21"/>
      <c r="Z95" s="17">
        <v>45077</v>
      </c>
      <c r="AA95" s="8"/>
      <c r="AB95" s="21"/>
      <c r="AC95" s="8"/>
      <c r="AD95" s="8"/>
      <c r="AE95" s="8"/>
      <c r="AF95" s="8"/>
    </row>
    <row r="96" spans="1:32" ht="30" hidden="1">
      <c r="A96" s="8">
        <v>93</v>
      </c>
      <c r="B96" s="55"/>
      <c r="C96" s="8" t="s">
        <v>191</v>
      </c>
      <c r="D96" s="8" t="s">
        <v>41</v>
      </c>
      <c r="E96" s="8" t="s">
        <v>42</v>
      </c>
      <c r="F96" s="8"/>
      <c r="G96" s="11">
        <v>45034</v>
      </c>
      <c r="H96" s="6" t="s">
        <v>190</v>
      </c>
      <c r="I96" s="4"/>
      <c r="J96" s="9"/>
      <c r="K96" s="15"/>
      <c r="L96" s="16" t="s">
        <v>46</v>
      </c>
      <c r="M96" s="17"/>
      <c r="N96" s="8"/>
      <c r="O96" s="8" t="s">
        <v>47</v>
      </c>
      <c r="P96" s="17"/>
      <c r="Q96" s="8"/>
      <c r="R96" s="17"/>
      <c r="S96" s="8"/>
      <c r="T96" s="17"/>
      <c r="U96" s="8"/>
      <c r="V96" s="8"/>
      <c r="W96" s="17">
        <v>45073</v>
      </c>
      <c r="X96" s="8"/>
      <c r="Y96" s="21"/>
      <c r="Z96" s="17">
        <v>45077</v>
      </c>
      <c r="AA96" s="8"/>
      <c r="AB96" s="21"/>
      <c r="AC96" s="8"/>
      <c r="AD96" s="8"/>
      <c r="AE96" s="8"/>
      <c r="AF96" s="8"/>
    </row>
    <row r="97" spans="1:32" ht="30" hidden="1">
      <c r="A97" s="4">
        <v>94</v>
      </c>
      <c r="B97" s="55"/>
      <c r="C97" s="8" t="s">
        <v>192</v>
      </c>
      <c r="D97" s="8" t="s">
        <v>41</v>
      </c>
      <c r="E97" s="8" t="s">
        <v>42</v>
      </c>
      <c r="F97" s="8"/>
      <c r="G97" s="11">
        <v>45034</v>
      </c>
      <c r="H97" s="6" t="s">
        <v>190</v>
      </c>
      <c r="I97" s="4"/>
      <c r="J97" s="9"/>
      <c r="K97" s="15"/>
      <c r="L97" s="16" t="s">
        <v>46</v>
      </c>
      <c r="M97" s="17"/>
      <c r="N97" s="8"/>
      <c r="O97" s="8" t="s">
        <v>47</v>
      </c>
      <c r="P97" s="17"/>
      <c r="Q97" s="8"/>
      <c r="R97" s="17"/>
      <c r="S97" s="8"/>
      <c r="T97" s="17"/>
      <c r="U97" s="8"/>
      <c r="V97" s="8"/>
      <c r="W97" s="17">
        <v>45073</v>
      </c>
      <c r="X97" s="8"/>
      <c r="Y97" s="21"/>
      <c r="Z97" s="17">
        <v>45077</v>
      </c>
      <c r="AA97" s="8"/>
      <c r="AB97" s="21"/>
      <c r="AC97" s="8"/>
      <c r="AD97" s="8"/>
      <c r="AE97" s="8"/>
      <c r="AF97" s="8"/>
    </row>
    <row r="98" spans="1:32" ht="30" hidden="1">
      <c r="A98" s="8">
        <v>95</v>
      </c>
      <c r="B98" s="55"/>
      <c r="C98" s="8" t="s">
        <v>193</v>
      </c>
      <c r="D98" s="8" t="s">
        <v>41</v>
      </c>
      <c r="E98" s="8" t="s">
        <v>42</v>
      </c>
      <c r="F98" s="8"/>
      <c r="G98" s="11">
        <v>45034</v>
      </c>
      <c r="H98" s="6" t="s">
        <v>190</v>
      </c>
      <c r="I98" s="4"/>
      <c r="J98" s="9"/>
      <c r="K98" s="15"/>
      <c r="L98" s="16" t="s">
        <v>46</v>
      </c>
      <c r="M98" s="17"/>
      <c r="N98" s="8"/>
      <c r="O98" s="8" t="s">
        <v>47</v>
      </c>
      <c r="P98" s="17"/>
      <c r="Q98" s="8"/>
      <c r="R98" s="17"/>
      <c r="S98" s="8"/>
      <c r="T98" s="17"/>
      <c r="U98" s="8"/>
      <c r="V98" s="8"/>
      <c r="W98" s="17">
        <v>45073</v>
      </c>
      <c r="X98" s="8"/>
      <c r="Y98" s="21"/>
      <c r="Z98" s="17">
        <v>45077</v>
      </c>
      <c r="AA98" s="8"/>
      <c r="AB98" s="21"/>
      <c r="AC98" s="8"/>
      <c r="AD98" s="8"/>
      <c r="AE98" s="8"/>
      <c r="AF98" s="8"/>
    </row>
    <row r="99" spans="1:32" ht="30" hidden="1">
      <c r="A99" s="4">
        <v>96</v>
      </c>
      <c r="B99" s="55"/>
      <c r="C99" s="8" t="s">
        <v>194</v>
      </c>
      <c r="D99" s="8" t="s">
        <v>41</v>
      </c>
      <c r="E99" s="8" t="s">
        <v>42</v>
      </c>
      <c r="F99" s="8"/>
      <c r="G99" s="11">
        <v>45034</v>
      </c>
      <c r="H99" s="6" t="s">
        <v>190</v>
      </c>
      <c r="I99" s="4"/>
      <c r="J99" s="9"/>
      <c r="K99" s="15"/>
      <c r="L99" s="16" t="s">
        <v>46</v>
      </c>
      <c r="M99" s="17"/>
      <c r="N99" s="8"/>
      <c r="O99" s="8" t="s">
        <v>47</v>
      </c>
      <c r="P99" s="17"/>
      <c r="Q99" s="8"/>
      <c r="R99" s="17"/>
      <c r="S99" s="8"/>
      <c r="T99" s="17"/>
      <c r="U99" s="8"/>
      <c r="V99" s="8"/>
      <c r="W99" s="17">
        <v>45073</v>
      </c>
      <c r="X99" s="8"/>
      <c r="Y99" s="21"/>
      <c r="Z99" s="17">
        <v>45077</v>
      </c>
      <c r="AA99" s="8"/>
      <c r="AB99" s="21"/>
      <c r="AC99" s="8"/>
      <c r="AD99" s="8"/>
      <c r="AE99" s="8"/>
      <c r="AF99" s="8"/>
    </row>
    <row r="100" spans="1:32" ht="30" hidden="1">
      <c r="A100" s="8">
        <v>97</v>
      </c>
      <c r="B100" s="55" t="s">
        <v>195</v>
      </c>
      <c r="C100" s="8" t="s">
        <v>189</v>
      </c>
      <c r="D100" s="8" t="s">
        <v>41</v>
      </c>
      <c r="E100" s="8" t="s">
        <v>42</v>
      </c>
      <c r="F100" s="8"/>
      <c r="G100" s="11">
        <v>45034</v>
      </c>
      <c r="H100" s="6" t="s">
        <v>190</v>
      </c>
      <c r="I100" s="4"/>
      <c r="J100" s="9"/>
      <c r="K100" s="15"/>
      <c r="L100" s="16" t="s">
        <v>46</v>
      </c>
      <c r="M100" s="17"/>
      <c r="N100" s="8"/>
      <c r="O100" s="8" t="s">
        <v>47</v>
      </c>
      <c r="P100" s="17"/>
      <c r="Q100" s="8"/>
      <c r="R100" s="17"/>
      <c r="S100" s="8"/>
      <c r="T100" s="17"/>
      <c r="U100" s="8"/>
      <c r="V100" s="8"/>
      <c r="W100" s="17">
        <v>45073</v>
      </c>
      <c r="X100" s="8"/>
      <c r="Y100" s="21"/>
      <c r="Z100" s="17">
        <v>45077</v>
      </c>
      <c r="AA100" s="8"/>
      <c r="AB100" s="21"/>
      <c r="AC100" s="8"/>
      <c r="AD100" s="8"/>
      <c r="AE100" s="8"/>
      <c r="AF100" s="8"/>
    </row>
    <row r="101" spans="1:32" ht="30" hidden="1">
      <c r="A101" s="4">
        <v>98</v>
      </c>
      <c r="B101" s="55"/>
      <c r="C101" s="8" t="s">
        <v>191</v>
      </c>
      <c r="D101" s="8" t="s">
        <v>41</v>
      </c>
      <c r="E101" s="8" t="s">
        <v>42</v>
      </c>
      <c r="F101" s="8"/>
      <c r="G101" s="11">
        <v>45034</v>
      </c>
      <c r="H101" s="6" t="s">
        <v>190</v>
      </c>
      <c r="I101" s="4"/>
      <c r="J101" s="9"/>
      <c r="K101" s="15"/>
      <c r="L101" s="16" t="s">
        <v>46</v>
      </c>
      <c r="M101" s="17"/>
      <c r="N101" s="8"/>
      <c r="O101" s="8" t="s">
        <v>47</v>
      </c>
      <c r="P101" s="17"/>
      <c r="Q101" s="8"/>
      <c r="R101" s="17"/>
      <c r="S101" s="8"/>
      <c r="T101" s="17"/>
      <c r="U101" s="8"/>
      <c r="V101" s="8"/>
      <c r="W101" s="17">
        <v>45073</v>
      </c>
      <c r="X101" s="8"/>
      <c r="Y101" s="21"/>
      <c r="Z101" s="17">
        <v>45077</v>
      </c>
      <c r="AA101" s="8"/>
      <c r="AB101" s="21"/>
      <c r="AC101" s="8"/>
      <c r="AD101" s="8"/>
      <c r="AE101" s="8"/>
      <c r="AF101" s="8"/>
    </row>
    <row r="102" spans="1:32" ht="30" hidden="1">
      <c r="A102" s="8">
        <v>99</v>
      </c>
      <c r="B102" s="55"/>
      <c r="C102" s="8" t="s">
        <v>192</v>
      </c>
      <c r="D102" s="8" t="s">
        <v>41</v>
      </c>
      <c r="E102" s="8" t="s">
        <v>42</v>
      </c>
      <c r="F102" s="8"/>
      <c r="G102" s="11">
        <v>45034</v>
      </c>
      <c r="H102" s="6" t="s">
        <v>190</v>
      </c>
      <c r="I102" s="4"/>
      <c r="J102" s="9"/>
      <c r="K102" s="15"/>
      <c r="L102" s="16" t="s">
        <v>46</v>
      </c>
      <c r="M102" s="17"/>
      <c r="N102" s="8"/>
      <c r="O102" s="8" t="s">
        <v>47</v>
      </c>
      <c r="P102" s="17"/>
      <c r="Q102" s="8"/>
      <c r="R102" s="17"/>
      <c r="S102" s="8"/>
      <c r="T102" s="17"/>
      <c r="U102" s="8"/>
      <c r="V102" s="8"/>
      <c r="W102" s="17">
        <v>45073</v>
      </c>
      <c r="X102" s="8"/>
      <c r="Y102" s="21"/>
      <c r="Z102" s="17">
        <v>45077</v>
      </c>
      <c r="AA102" s="8"/>
      <c r="AB102" s="21"/>
      <c r="AC102" s="8"/>
      <c r="AD102" s="8"/>
      <c r="AE102" s="8"/>
      <c r="AF102" s="8"/>
    </row>
    <row r="103" spans="1:32" ht="30" hidden="1">
      <c r="A103" s="4">
        <v>100</v>
      </c>
      <c r="B103" s="55"/>
      <c r="C103" s="8" t="s">
        <v>193</v>
      </c>
      <c r="D103" s="8" t="s">
        <v>41</v>
      </c>
      <c r="E103" s="8" t="s">
        <v>42</v>
      </c>
      <c r="F103" s="8"/>
      <c r="G103" s="11">
        <v>45034</v>
      </c>
      <c r="H103" s="6" t="s">
        <v>190</v>
      </c>
      <c r="I103" s="4"/>
      <c r="J103" s="9"/>
      <c r="K103" s="15"/>
      <c r="L103" s="16" t="s">
        <v>46</v>
      </c>
      <c r="M103" s="17"/>
      <c r="N103" s="8"/>
      <c r="O103" s="8" t="s">
        <v>47</v>
      </c>
      <c r="P103" s="17"/>
      <c r="Q103" s="8"/>
      <c r="R103" s="17"/>
      <c r="S103" s="8"/>
      <c r="T103" s="17"/>
      <c r="U103" s="8"/>
      <c r="V103" s="8"/>
      <c r="W103" s="17">
        <v>45073</v>
      </c>
      <c r="X103" s="8"/>
      <c r="Y103" s="21"/>
      <c r="Z103" s="17">
        <v>45077</v>
      </c>
      <c r="AA103" s="8"/>
      <c r="AB103" s="21"/>
      <c r="AC103" s="8"/>
      <c r="AD103" s="8"/>
      <c r="AE103" s="8"/>
      <c r="AF103" s="8"/>
    </row>
    <row r="104" spans="1:32" ht="30" hidden="1">
      <c r="A104" s="8">
        <v>101</v>
      </c>
      <c r="B104" s="55"/>
      <c r="C104" s="8" t="s">
        <v>194</v>
      </c>
      <c r="D104" s="8" t="s">
        <v>41</v>
      </c>
      <c r="E104" s="8" t="s">
        <v>42</v>
      </c>
      <c r="F104" s="8"/>
      <c r="G104" s="11">
        <v>45034</v>
      </c>
      <c r="H104" s="6" t="s">
        <v>190</v>
      </c>
      <c r="I104" s="4"/>
      <c r="J104" s="9"/>
      <c r="K104" s="15"/>
      <c r="L104" s="16" t="s">
        <v>46</v>
      </c>
      <c r="M104" s="17"/>
      <c r="N104" s="8"/>
      <c r="O104" s="8" t="s">
        <v>47</v>
      </c>
      <c r="P104" s="17"/>
      <c r="Q104" s="8"/>
      <c r="R104" s="17"/>
      <c r="S104" s="8"/>
      <c r="T104" s="17"/>
      <c r="U104" s="8"/>
      <c r="V104" s="8"/>
      <c r="W104" s="17">
        <v>45073</v>
      </c>
      <c r="X104" s="8"/>
      <c r="Y104" s="21"/>
      <c r="Z104" s="17">
        <v>45077</v>
      </c>
      <c r="AA104" s="8"/>
      <c r="AB104" s="21"/>
      <c r="AC104" s="8"/>
      <c r="AD104" s="8"/>
      <c r="AE104" s="8"/>
      <c r="AF104" s="8"/>
    </row>
    <row r="105" spans="1:32" ht="30" hidden="1">
      <c r="A105" s="4">
        <v>102</v>
      </c>
      <c r="B105" s="55" t="s">
        <v>196</v>
      </c>
      <c r="C105" s="8" t="s">
        <v>189</v>
      </c>
      <c r="D105" s="8" t="s">
        <v>41</v>
      </c>
      <c r="E105" s="8" t="s">
        <v>42</v>
      </c>
      <c r="F105" s="8"/>
      <c r="G105" s="11">
        <v>45034</v>
      </c>
      <c r="H105" s="6" t="s">
        <v>190</v>
      </c>
      <c r="I105" s="4"/>
      <c r="J105" s="9"/>
      <c r="K105" s="15"/>
      <c r="L105" s="16" t="s">
        <v>46</v>
      </c>
      <c r="M105" s="17"/>
      <c r="N105" s="8"/>
      <c r="O105" s="8" t="s">
        <v>47</v>
      </c>
      <c r="P105" s="17"/>
      <c r="Q105" s="8"/>
      <c r="R105" s="17"/>
      <c r="S105" s="8"/>
      <c r="T105" s="17"/>
      <c r="U105" s="8"/>
      <c r="V105" s="8"/>
      <c r="W105" s="17">
        <v>45073</v>
      </c>
      <c r="X105" s="8"/>
      <c r="Y105" s="21"/>
      <c r="Z105" s="17">
        <v>45077</v>
      </c>
      <c r="AA105" s="8"/>
      <c r="AB105" s="21"/>
      <c r="AC105" s="8"/>
      <c r="AD105" s="8"/>
      <c r="AE105" s="8"/>
      <c r="AF105" s="8"/>
    </row>
    <row r="106" spans="1:32" ht="30" hidden="1">
      <c r="A106" s="8">
        <v>103</v>
      </c>
      <c r="B106" s="55"/>
      <c r="C106" s="8" t="s">
        <v>191</v>
      </c>
      <c r="D106" s="8" t="s">
        <v>41</v>
      </c>
      <c r="E106" s="8" t="s">
        <v>42</v>
      </c>
      <c r="F106" s="8"/>
      <c r="G106" s="11">
        <v>45034</v>
      </c>
      <c r="H106" s="6" t="s">
        <v>190</v>
      </c>
      <c r="I106" s="4"/>
      <c r="J106" s="9"/>
      <c r="K106" s="15"/>
      <c r="L106" s="16" t="s">
        <v>46</v>
      </c>
      <c r="M106" s="17"/>
      <c r="N106" s="8"/>
      <c r="O106" s="8" t="s">
        <v>47</v>
      </c>
      <c r="P106" s="17"/>
      <c r="Q106" s="8"/>
      <c r="R106" s="17"/>
      <c r="S106" s="8"/>
      <c r="T106" s="17"/>
      <c r="U106" s="8"/>
      <c r="V106" s="8"/>
      <c r="W106" s="17">
        <v>45073</v>
      </c>
      <c r="X106" s="8"/>
      <c r="Y106" s="21"/>
      <c r="Z106" s="17">
        <v>45077</v>
      </c>
      <c r="AA106" s="8"/>
      <c r="AB106" s="21"/>
      <c r="AC106" s="8"/>
      <c r="AD106" s="8"/>
      <c r="AE106" s="8"/>
      <c r="AF106" s="8"/>
    </row>
    <row r="107" spans="1:32" ht="30" hidden="1">
      <c r="A107" s="4">
        <v>104</v>
      </c>
      <c r="B107" s="55"/>
      <c r="C107" s="8" t="s">
        <v>192</v>
      </c>
      <c r="D107" s="8" t="s">
        <v>41</v>
      </c>
      <c r="E107" s="8" t="s">
        <v>42</v>
      </c>
      <c r="F107" s="8"/>
      <c r="G107" s="11">
        <v>45034</v>
      </c>
      <c r="H107" s="6" t="s">
        <v>190</v>
      </c>
      <c r="I107" s="4"/>
      <c r="J107" s="9"/>
      <c r="K107" s="15"/>
      <c r="L107" s="16" t="s">
        <v>46</v>
      </c>
      <c r="M107" s="17"/>
      <c r="N107" s="8"/>
      <c r="O107" s="8" t="s">
        <v>47</v>
      </c>
      <c r="P107" s="17"/>
      <c r="Q107" s="8"/>
      <c r="R107" s="17"/>
      <c r="S107" s="8"/>
      <c r="T107" s="17"/>
      <c r="U107" s="8"/>
      <c r="V107" s="8"/>
      <c r="W107" s="17">
        <v>45073</v>
      </c>
      <c r="X107" s="8"/>
      <c r="Y107" s="21"/>
      <c r="Z107" s="17">
        <v>45077</v>
      </c>
      <c r="AA107" s="8"/>
      <c r="AB107" s="21"/>
      <c r="AC107" s="8"/>
      <c r="AD107" s="8"/>
      <c r="AE107" s="8"/>
      <c r="AF107" s="8"/>
    </row>
    <row r="108" spans="1:32" ht="30" hidden="1">
      <c r="A108" s="8">
        <v>105</v>
      </c>
      <c r="B108" s="55"/>
      <c r="C108" s="8" t="s">
        <v>193</v>
      </c>
      <c r="D108" s="8" t="s">
        <v>41</v>
      </c>
      <c r="E108" s="8" t="s">
        <v>42</v>
      </c>
      <c r="F108" s="8"/>
      <c r="G108" s="11">
        <v>45034</v>
      </c>
      <c r="H108" s="6" t="s">
        <v>190</v>
      </c>
      <c r="I108" s="4"/>
      <c r="J108" s="9"/>
      <c r="K108" s="15"/>
      <c r="L108" s="16" t="s">
        <v>46</v>
      </c>
      <c r="M108" s="17"/>
      <c r="N108" s="8"/>
      <c r="O108" s="8" t="s">
        <v>47</v>
      </c>
      <c r="P108" s="17"/>
      <c r="Q108" s="8"/>
      <c r="R108" s="17"/>
      <c r="S108" s="8"/>
      <c r="T108" s="17"/>
      <c r="U108" s="8"/>
      <c r="V108" s="8"/>
      <c r="W108" s="17">
        <v>45073</v>
      </c>
      <c r="X108" s="8"/>
      <c r="Y108" s="21"/>
      <c r="Z108" s="17">
        <v>45077</v>
      </c>
      <c r="AA108" s="8"/>
      <c r="AB108" s="21"/>
      <c r="AC108" s="8"/>
      <c r="AD108" s="8"/>
      <c r="AE108" s="8"/>
      <c r="AF108" s="8"/>
    </row>
    <row r="109" spans="1:32" ht="30" hidden="1">
      <c r="A109" s="4">
        <v>106</v>
      </c>
      <c r="B109" s="55"/>
      <c r="C109" s="8" t="s">
        <v>194</v>
      </c>
      <c r="D109" s="8" t="s">
        <v>41</v>
      </c>
      <c r="E109" s="8" t="s">
        <v>42</v>
      </c>
      <c r="F109" s="8"/>
      <c r="G109" s="11">
        <v>45034</v>
      </c>
      <c r="H109" s="6" t="s">
        <v>190</v>
      </c>
      <c r="I109" s="4"/>
      <c r="J109" s="9"/>
      <c r="K109" s="15"/>
      <c r="L109" s="16" t="s">
        <v>46</v>
      </c>
      <c r="M109" s="17"/>
      <c r="N109" s="8"/>
      <c r="O109" s="8" t="s">
        <v>47</v>
      </c>
      <c r="P109" s="17"/>
      <c r="Q109" s="8"/>
      <c r="R109" s="17"/>
      <c r="S109" s="8"/>
      <c r="T109" s="17"/>
      <c r="U109" s="8"/>
      <c r="V109" s="8"/>
      <c r="W109" s="17">
        <v>45073</v>
      </c>
      <c r="X109" s="8"/>
      <c r="Y109" s="21"/>
      <c r="Z109" s="17">
        <v>45077</v>
      </c>
      <c r="AA109" s="8"/>
      <c r="AB109" s="21"/>
      <c r="AC109" s="8"/>
      <c r="AD109" s="8"/>
      <c r="AE109" s="8"/>
      <c r="AF109" s="8"/>
    </row>
    <row r="110" spans="1:32" ht="30" hidden="1">
      <c r="A110" s="8">
        <v>107</v>
      </c>
      <c r="B110" s="55" t="s">
        <v>197</v>
      </c>
      <c r="C110" s="8" t="s">
        <v>189</v>
      </c>
      <c r="D110" s="8" t="s">
        <v>41</v>
      </c>
      <c r="E110" s="8" t="s">
        <v>42</v>
      </c>
      <c r="F110" s="8"/>
      <c r="G110" s="11">
        <v>45034</v>
      </c>
      <c r="H110" s="6" t="s">
        <v>190</v>
      </c>
      <c r="I110" s="4"/>
      <c r="J110" s="9"/>
      <c r="K110" s="15"/>
      <c r="L110" s="16" t="s">
        <v>46</v>
      </c>
      <c r="M110" s="17"/>
      <c r="N110" s="8"/>
      <c r="O110" s="8" t="s">
        <v>47</v>
      </c>
      <c r="P110" s="17"/>
      <c r="Q110" s="8"/>
      <c r="R110" s="17"/>
      <c r="S110" s="8"/>
      <c r="T110" s="17"/>
      <c r="U110" s="8"/>
      <c r="V110" s="8"/>
      <c r="W110" s="17">
        <v>45073</v>
      </c>
      <c r="X110" s="8"/>
      <c r="Y110" s="21"/>
      <c r="Z110" s="17">
        <v>45077</v>
      </c>
      <c r="AA110" s="8"/>
      <c r="AB110" s="21"/>
      <c r="AC110" s="8"/>
      <c r="AD110" s="8"/>
      <c r="AE110" s="8"/>
      <c r="AF110" s="8"/>
    </row>
    <row r="111" spans="1:32" ht="30" hidden="1">
      <c r="A111" s="4">
        <v>108</v>
      </c>
      <c r="B111" s="55"/>
      <c r="C111" s="8" t="s">
        <v>191</v>
      </c>
      <c r="D111" s="8" t="s">
        <v>41</v>
      </c>
      <c r="E111" s="8" t="s">
        <v>42</v>
      </c>
      <c r="F111" s="8"/>
      <c r="G111" s="11">
        <v>45034</v>
      </c>
      <c r="H111" s="6" t="s">
        <v>190</v>
      </c>
      <c r="I111" s="4"/>
      <c r="J111" s="9"/>
      <c r="K111" s="15"/>
      <c r="L111" s="16" t="s">
        <v>46</v>
      </c>
      <c r="M111" s="17"/>
      <c r="N111" s="8"/>
      <c r="O111" s="8" t="s">
        <v>47</v>
      </c>
      <c r="P111" s="17"/>
      <c r="Q111" s="8"/>
      <c r="R111" s="17"/>
      <c r="S111" s="8"/>
      <c r="T111" s="17"/>
      <c r="U111" s="8"/>
      <c r="V111" s="8"/>
      <c r="W111" s="17">
        <v>45073</v>
      </c>
      <c r="X111" s="8"/>
      <c r="Y111" s="21"/>
      <c r="Z111" s="17">
        <v>45077</v>
      </c>
      <c r="AA111" s="8"/>
      <c r="AB111" s="21"/>
      <c r="AC111" s="8"/>
      <c r="AD111" s="8"/>
      <c r="AE111" s="8"/>
      <c r="AF111" s="8"/>
    </row>
    <row r="112" spans="1:32" ht="30" hidden="1">
      <c r="A112" s="8">
        <v>109</v>
      </c>
      <c r="B112" s="55"/>
      <c r="C112" s="8" t="s">
        <v>192</v>
      </c>
      <c r="D112" s="8" t="s">
        <v>41</v>
      </c>
      <c r="E112" s="8" t="s">
        <v>42</v>
      </c>
      <c r="F112" s="8"/>
      <c r="G112" s="11">
        <v>45034</v>
      </c>
      <c r="H112" s="6" t="s">
        <v>190</v>
      </c>
      <c r="I112" s="4"/>
      <c r="J112" s="9"/>
      <c r="K112" s="15"/>
      <c r="L112" s="16" t="s">
        <v>46</v>
      </c>
      <c r="M112" s="17"/>
      <c r="N112" s="8"/>
      <c r="O112" s="8" t="s">
        <v>47</v>
      </c>
      <c r="P112" s="17"/>
      <c r="Q112" s="8"/>
      <c r="R112" s="17"/>
      <c r="S112" s="8"/>
      <c r="T112" s="17"/>
      <c r="U112" s="8"/>
      <c r="V112" s="8"/>
      <c r="W112" s="17">
        <v>45073</v>
      </c>
      <c r="X112" s="8"/>
      <c r="Y112" s="21"/>
      <c r="Z112" s="17">
        <v>45077</v>
      </c>
      <c r="AA112" s="8"/>
      <c r="AB112" s="21"/>
      <c r="AC112" s="8"/>
      <c r="AD112" s="8"/>
      <c r="AE112" s="8"/>
      <c r="AF112" s="8"/>
    </row>
    <row r="113" spans="1:32" ht="30" hidden="1">
      <c r="A113" s="4">
        <v>110</v>
      </c>
      <c r="B113" s="55"/>
      <c r="C113" s="8" t="s">
        <v>193</v>
      </c>
      <c r="D113" s="8" t="s">
        <v>41</v>
      </c>
      <c r="E113" s="8" t="s">
        <v>42</v>
      </c>
      <c r="F113" s="8"/>
      <c r="G113" s="11">
        <v>45034</v>
      </c>
      <c r="H113" s="6" t="s">
        <v>190</v>
      </c>
      <c r="I113" s="4"/>
      <c r="J113" s="9"/>
      <c r="K113" s="15"/>
      <c r="L113" s="16" t="s">
        <v>46</v>
      </c>
      <c r="M113" s="17"/>
      <c r="N113" s="8"/>
      <c r="O113" s="8" t="s">
        <v>47</v>
      </c>
      <c r="P113" s="17"/>
      <c r="Q113" s="8"/>
      <c r="R113" s="17"/>
      <c r="S113" s="8"/>
      <c r="T113" s="17"/>
      <c r="U113" s="8"/>
      <c r="V113" s="8"/>
      <c r="W113" s="17">
        <v>45073</v>
      </c>
      <c r="X113" s="8"/>
      <c r="Y113" s="21"/>
      <c r="Z113" s="17">
        <v>45077</v>
      </c>
      <c r="AA113" s="8"/>
      <c r="AB113" s="21"/>
      <c r="AC113" s="8"/>
      <c r="AD113" s="8"/>
      <c r="AE113" s="8"/>
      <c r="AF113" s="8"/>
    </row>
    <row r="114" spans="1:32" ht="30" hidden="1">
      <c r="A114" s="8">
        <v>111</v>
      </c>
      <c r="B114" s="55"/>
      <c r="C114" s="8" t="s">
        <v>194</v>
      </c>
      <c r="D114" s="8" t="s">
        <v>41</v>
      </c>
      <c r="E114" s="8" t="s">
        <v>42</v>
      </c>
      <c r="F114" s="8"/>
      <c r="G114" s="11">
        <v>45034</v>
      </c>
      <c r="H114" s="6" t="s">
        <v>190</v>
      </c>
      <c r="I114" s="4"/>
      <c r="J114" s="9"/>
      <c r="K114" s="15"/>
      <c r="L114" s="16" t="s">
        <v>46</v>
      </c>
      <c r="M114" s="17"/>
      <c r="N114" s="8"/>
      <c r="O114" s="8" t="s">
        <v>47</v>
      </c>
      <c r="P114" s="17"/>
      <c r="Q114" s="8"/>
      <c r="R114" s="17"/>
      <c r="S114" s="8"/>
      <c r="T114" s="17"/>
      <c r="U114" s="8"/>
      <c r="V114" s="8"/>
      <c r="W114" s="17">
        <v>45073</v>
      </c>
      <c r="X114" s="8"/>
      <c r="Y114" s="21"/>
      <c r="Z114" s="17">
        <v>45077</v>
      </c>
      <c r="AA114" s="8"/>
      <c r="AB114" s="21"/>
      <c r="AC114" s="8"/>
      <c r="AD114" s="8"/>
      <c r="AE114" s="8"/>
      <c r="AF114" s="8"/>
    </row>
    <row r="115" spans="1:32" ht="30" hidden="1">
      <c r="A115" s="4">
        <v>112</v>
      </c>
      <c r="B115" s="55" t="s">
        <v>198</v>
      </c>
      <c r="C115" s="8" t="s">
        <v>189</v>
      </c>
      <c r="D115" s="8" t="s">
        <v>41</v>
      </c>
      <c r="E115" s="8" t="s">
        <v>42</v>
      </c>
      <c r="F115" s="8"/>
      <c r="G115" s="11">
        <v>45034</v>
      </c>
      <c r="H115" s="6" t="s">
        <v>190</v>
      </c>
      <c r="I115" s="4"/>
      <c r="J115" s="9"/>
      <c r="K115" s="15"/>
      <c r="L115" s="16" t="s">
        <v>46</v>
      </c>
      <c r="M115" s="17"/>
      <c r="N115" s="8"/>
      <c r="O115" s="8" t="s">
        <v>47</v>
      </c>
      <c r="P115" s="17"/>
      <c r="Q115" s="8"/>
      <c r="R115" s="17"/>
      <c r="S115" s="8"/>
      <c r="T115" s="17"/>
      <c r="U115" s="8"/>
      <c r="V115" s="8"/>
      <c r="W115" s="17">
        <v>45073</v>
      </c>
      <c r="X115" s="8"/>
      <c r="Y115" s="21"/>
      <c r="Z115" s="17">
        <v>45077</v>
      </c>
      <c r="AA115" s="8"/>
      <c r="AB115" s="21"/>
      <c r="AC115" s="8"/>
      <c r="AD115" s="8"/>
      <c r="AE115" s="8"/>
      <c r="AF115" s="8"/>
    </row>
    <row r="116" spans="1:32" ht="30" hidden="1">
      <c r="A116" s="8">
        <v>113</v>
      </c>
      <c r="B116" s="55"/>
      <c r="C116" s="8" t="s">
        <v>191</v>
      </c>
      <c r="D116" s="8" t="s">
        <v>41</v>
      </c>
      <c r="E116" s="8" t="s">
        <v>42</v>
      </c>
      <c r="F116" s="8"/>
      <c r="G116" s="11">
        <v>45034</v>
      </c>
      <c r="H116" s="6" t="s">
        <v>190</v>
      </c>
      <c r="I116" s="4"/>
      <c r="J116" s="9"/>
      <c r="K116" s="15"/>
      <c r="L116" s="16" t="s">
        <v>46</v>
      </c>
      <c r="M116" s="17"/>
      <c r="N116" s="8"/>
      <c r="O116" s="8" t="s">
        <v>47</v>
      </c>
      <c r="P116" s="17"/>
      <c r="Q116" s="8"/>
      <c r="R116" s="17"/>
      <c r="S116" s="8"/>
      <c r="T116" s="17"/>
      <c r="U116" s="8"/>
      <c r="V116" s="8"/>
      <c r="W116" s="17">
        <v>45073</v>
      </c>
      <c r="X116" s="8"/>
      <c r="Y116" s="21"/>
      <c r="Z116" s="17">
        <v>45077</v>
      </c>
      <c r="AA116" s="8"/>
      <c r="AB116" s="21"/>
      <c r="AC116" s="8"/>
      <c r="AD116" s="8"/>
      <c r="AE116" s="8"/>
      <c r="AF116" s="8"/>
    </row>
    <row r="117" spans="1:32" ht="30" hidden="1">
      <c r="A117" s="4">
        <v>114</v>
      </c>
      <c r="B117" s="55"/>
      <c r="C117" s="8" t="s">
        <v>192</v>
      </c>
      <c r="D117" s="8" t="s">
        <v>41</v>
      </c>
      <c r="E117" s="8" t="s">
        <v>42</v>
      </c>
      <c r="F117" s="8"/>
      <c r="G117" s="11">
        <v>45034</v>
      </c>
      <c r="H117" s="6" t="s">
        <v>190</v>
      </c>
      <c r="I117" s="4"/>
      <c r="J117" s="9"/>
      <c r="K117" s="15"/>
      <c r="L117" s="16" t="s">
        <v>46</v>
      </c>
      <c r="M117" s="17"/>
      <c r="N117" s="8"/>
      <c r="O117" s="8" t="s">
        <v>47</v>
      </c>
      <c r="P117" s="17"/>
      <c r="Q117" s="8"/>
      <c r="R117" s="17"/>
      <c r="S117" s="8"/>
      <c r="T117" s="17"/>
      <c r="U117" s="8"/>
      <c r="V117" s="8"/>
      <c r="W117" s="17">
        <v>45073</v>
      </c>
      <c r="X117" s="8"/>
      <c r="Y117" s="21"/>
      <c r="Z117" s="17">
        <v>45077</v>
      </c>
      <c r="AA117" s="8"/>
      <c r="AB117" s="21"/>
      <c r="AC117" s="8"/>
      <c r="AD117" s="8"/>
      <c r="AE117" s="8"/>
      <c r="AF117" s="8"/>
    </row>
    <row r="118" spans="1:32" ht="30" hidden="1">
      <c r="A118" s="8">
        <v>115</v>
      </c>
      <c r="B118" s="55"/>
      <c r="C118" s="8" t="s">
        <v>193</v>
      </c>
      <c r="D118" s="8" t="s">
        <v>41</v>
      </c>
      <c r="E118" s="8" t="s">
        <v>42</v>
      </c>
      <c r="F118" s="8"/>
      <c r="G118" s="11">
        <v>45034</v>
      </c>
      <c r="H118" s="6" t="s">
        <v>190</v>
      </c>
      <c r="I118" s="4"/>
      <c r="J118" s="9"/>
      <c r="K118" s="15"/>
      <c r="L118" s="16" t="s">
        <v>46</v>
      </c>
      <c r="M118" s="17"/>
      <c r="N118" s="8"/>
      <c r="O118" s="8" t="s">
        <v>47</v>
      </c>
      <c r="P118" s="17"/>
      <c r="Q118" s="8"/>
      <c r="R118" s="17"/>
      <c r="S118" s="8"/>
      <c r="T118" s="17"/>
      <c r="U118" s="8"/>
      <c r="V118" s="8"/>
      <c r="W118" s="17">
        <v>45073</v>
      </c>
      <c r="X118" s="8"/>
      <c r="Y118" s="21"/>
      <c r="Z118" s="17">
        <v>45077</v>
      </c>
      <c r="AA118" s="8"/>
      <c r="AB118" s="21"/>
      <c r="AC118" s="8"/>
      <c r="AD118" s="8"/>
      <c r="AE118" s="8"/>
      <c r="AF118" s="8"/>
    </row>
    <row r="119" spans="1:32" ht="30" hidden="1">
      <c r="A119" s="4">
        <v>116</v>
      </c>
      <c r="B119" s="55"/>
      <c r="C119" s="8" t="s">
        <v>194</v>
      </c>
      <c r="D119" s="8" t="s">
        <v>41</v>
      </c>
      <c r="E119" s="8" t="s">
        <v>42</v>
      </c>
      <c r="F119" s="8"/>
      <c r="G119" s="11">
        <v>45034</v>
      </c>
      <c r="H119" s="6" t="s">
        <v>190</v>
      </c>
      <c r="I119" s="4"/>
      <c r="J119" s="9"/>
      <c r="K119" s="15"/>
      <c r="L119" s="16" t="s">
        <v>46</v>
      </c>
      <c r="M119" s="17"/>
      <c r="N119" s="8"/>
      <c r="O119" s="8" t="s">
        <v>47</v>
      </c>
      <c r="P119" s="17"/>
      <c r="Q119" s="8"/>
      <c r="R119" s="17"/>
      <c r="S119" s="8"/>
      <c r="T119" s="17"/>
      <c r="U119" s="8"/>
      <c r="V119" s="8"/>
      <c r="W119" s="17">
        <v>45073</v>
      </c>
      <c r="X119" s="8"/>
      <c r="Y119" s="21"/>
      <c r="Z119" s="17">
        <v>45077</v>
      </c>
      <c r="AA119" s="8"/>
      <c r="AB119" s="21"/>
      <c r="AC119" s="8"/>
      <c r="AD119" s="8"/>
      <c r="AE119" s="8"/>
      <c r="AF119" s="8"/>
    </row>
    <row r="120" spans="1:32" ht="30" hidden="1">
      <c r="A120" s="8">
        <v>117</v>
      </c>
      <c r="B120" s="55" t="s">
        <v>199</v>
      </c>
      <c r="C120" s="8" t="s">
        <v>189</v>
      </c>
      <c r="D120" s="8" t="s">
        <v>41</v>
      </c>
      <c r="E120" s="8" t="s">
        <v>42</v>
      </c>
      <c r="F120" s="8"/>
      <c r="G120" s="11">
        <v>45034</v>
      </c>
      <c r="H120" s="6" t="s">
        <v>190</v>
      </c>
      <c r="I120" s="4"/>
      <c r="J120" s="9"/>
      <c r="K120" s="15"/>
      <c r="L120" s="16" t="s">
        <v>46</v>
      </c>
      <c r="M120" s="17"/>
      <c r="N120" s="8"/>
      <c r="O120" s="8" t="s">
        <v>47</v>
      </c>
      <c r="P120" s="17"/>
      <c r="Q120" s="8"/>
      <c r="R120" s="17"/>
      <c r="S120" s="8"/>
      <c r="T120" s="17"/>
      <c r="U120" s="8"/>
      <c r="V120" s="8"/>
      <c r="W120" s="17">
        <v>45073</v>
      </c>
      <c r="X120" s="8"/>
      <c r="Y120" s="21"/>
      <c r="Z120" s="17">
        <v>45077</v>
      </c>
      <c r="AA120" s="8"/>
      <c r="AB120" s="21"/>
      <c r="AC120" s="8"/>
      <c r="AD120" s="8"/>
      <c r="AE120" s="8"/>
      <c r="AF120" s="8"/>
    </row>
    <row r="121" spans="1:32" ht="30" hidden="1">
      <c r="A121" s="4">
        <v>118</v>
      </c>
      <c r="B121" s="55"/>
      <c r="C121" s="8" t="s">
        <v>191</v>
      </c>
      <c r="D121" s="8" t="s">
        <v>41</v>
      </c>
      <c r="E121" s="8" t="s">
        <v>42</v>
      </c>
      <c r="F121" s="8"/>
      <c r="G121" s="11">
        <v>45034</v>
      </c>
      <c r="H121" s="6" t="s">
        <v>190</v>
      </c>
      <c r="I121" s="4"/>
      <c r="J121" s="9"/>
      <c r="K121" s="15"/>
      <c r="L121" s="16" t="s">
        <v>46</v>
      </c>
      <c r="M121" s="17"/>
      <c r="N121" s="8"/>
      <c r="O121" s="8" t="s">
        <v>47</v>
      </c>
      <c r="P121" s="17"/>
      <c r="Q121" s="8"/>
      <c r="R121" s="17"/>
      <c r="S121" s="8"/>
      <c r="T121" s="17"/>
      <c r="U121" s="8"/>
      <c r="V121" s="8"/>
      <c r="W121" s="17">
        <v>45073</v>
      </c>
      <c r="X121" s="8"/>
      <c r="Y121" s="21"/>
      <c r="Z121" s="17">
        <v>45077</v>
      </c>
      <c r="AA121" s="8"/>
      <c r="AB121" s="21"/>
      <c r="AC121" s="8"/>
      <c r="AD121" s="8"/>
      <c r="AE121" s="8"/>
      <c r="AF121" s="8"/>
    </row>
    <row r="122" spans="1:32" ht="30" hidden="1">
      <c r="A122" s="8">
        <v>119</v>
      </c>
      <c r="B122" s="55"/>
      <c r="C122" s="8" t="s">
        <v>192</v>
      </c>
      <c r="D122" s="8" t="s">
        <v>41</v>
      </c>
      <c r="E122" s="8" t="s">
        <v>42</v>
      </c>
      <c r="F122" s="8"/>
      <c r="G122" s="11">
        <v>45034</v>
      </c>
      <c r="H122" s="6" t="s">
        <v>190</v>
      </c>
      <c r="I122" s="4"/>
      <c r="J122" s="9"/>
      <c r="K122" s="15"/>
      <c r="L122" s="16" t="s">
        <v>46</v>
      </c>
      <c r="M122" s="17"/>
      <c r="N122" s="8"/>
      <c r="O122" s="8" t="s">
        <v>47</v>
      </c>
      <c r="P122" s="17"/>
      <c r="Q122" s="8"/>
      <c r="R122" s="17"/>
      <c r="S122" s="8"/>
      <c r="T122" s="17"/>
      <c r="U122" s="8"/>
      <c r="V122" s="8"/>
      <c r="W122" s="17">
        <v>45073</v>
      </c>
      <c r="X122" s="8"/>
      <c r="Y122" s="21"/>
      <c r="Z122" s="17">
        <v>45077</v>
      </c>
      <c r="AA122" s="8"/>
      <c r="AB122" s="21"/>
      <c r="AC122" s="8"/>
      <c r="AD122" s="8"/>
      <c r="AE122" s="8"/>
      <c r="AF122" s="8"/>
    </row>
    <row r="123" spans="1:32" ht="30" hidden="1">
      <c r="A123" s="4">
        <v>120</v>
      </c>
      <c r="B123" s="55"/>
      <c r="C123" s="8" t="s">
        <v>193</v>
      </c>
      <c r="D123" s="8" t="s">
        <v>41</v>
      </c>
      <c r="E123" s="8" t="s">
        <v>42</v>
      </c>
      <c r="F123" s="8"/>
      <c r="G123" s="11">
        <v>45034</v>
      </c>
      <c r="H123" s="6" t="s">
        <v>190</v>
      </c>
      <c r="I123" s="4"/>
      <c r="J123" s="9"/>
      <c r="K123" s="15"/>
      <c r="L123" s="16" t="s">
        <v>46</v>
      </c>
      <c r="M123" s="17"/>
      <c r="N123" s="8"/>
      <c r="O123" s="8" t="s">
        <v>47</v>
      </c>
      <c r="P123" s="17"/>
      <c r="Q123" s="8"/>
      <c r="R123" s="17"/>
      <c r="S123" s="8"/>
      <c r="T123" s="17"/>
      <c r="U123" s="8"/>
      <c r="V123" s="8"/>
      <c r="W123" s="17">
        <v>45073</v>
      </c>
      <c r="X123" s="8"/>
      <c r="Y123" s="21"/>
      <c r="Z123" s="17">
        <v>45077</v>
      </c>
      <c r="AA123" s="8"/>
      <c r="AB123" s="21"/>
      <c r="AC123" s="8"/>
      <c r="AD123" s="8"/>
      <c r="AE123" s="8"/>
      <c r="AF123" s="8"/>
    </row>
    <row r="124" spans="1:32" ht="30" hidden="1">
      <c r="A124" s="8">
        <v>121</v>
      </c>
      <c r="B124" s="55"/>
      <c r="C124" s="8" t="s">
        <v>194</v>
      </c>
      <c r="D124" s="8" t="s">
        <v>41</v>
      </c>
      <c r="E124" s="8" t="s">
        <v>42</v>
      </c>
      <c r="F124" s="8"/>
      <c r="G124" s="11">
        <v>45034</v>
      </c>
      <c r="H124" s="6" t="s">
        <v>190</v>
      </c>
      <c r="I124" s="4"/>
      <c r="J124" s="9"/>
      <c r="K124" s="15"/>
      <c r="L124" s="16" t="s">
        <v>46</v>
      </c>
      <c r="M124" s="17"/>
      <c r="N124" s="8"/>
      <c r="O124" s="8" t="s">
        <v>47</v>
      </c>
      <c r="P124" s="17"/>
      <c r="Q124" s="8"/>
      <c r="R124" s="17"/>
      <c r="S124" s="8"/>
      <c r="T124" s="17"/>
      <c r="U124" s="8"/>
      <c r="V124" s="8"/>
      <c r="W124" s="17">
        <v>45073</v>
      </c>
      <c r="X124" s="8"/>
      <c r="Y124" s="21"/>
      <c r="Z124" s="17">
        <v>45077</v>
      </c>
      <c r="AA124" s="8"/>
      <c r="AB124" s="21"/>
      <c r="AC124" s="8"/>
      <c r="AD124" s="8"/>
      <c r="AE124" s="8"/>
      <c r="AF124" s="8"/>
    </row>
    <row r="125" spans="1:32" ht="30" hidden="1">
      <c r="A125" s="4">
        <v>122</v>
      </c>
      <c r="B125" s="55" t="s">
        <v>200</v>
      </c>
      <c r="C125" s="8" t="s">
        <v>189</v>
      </c>
      <c r="D125" s="8" t="s">
        <v>41</v>
      </c>
      <c r="E125" s="8" t="s">
        <v>42</v>
      </c>
      <c r="F125" s="8"/>
      <c r="G125" s="11">
        <v>45034</v>
      </c>
      <c r="H125" s="6" t="s">
        <v>190</v>
      </c>
      <c r="I125" s="4"/>
      <c r="J125" s="9"/>
      <c r="K125" s="15"/>
      <c r="L125" s="16" t="s">
        <v>46</v>
      </c>
      <c r="M125" s="17"/>
      <c r="N125" s="8"/>
      <c r="O125" s="8" t="s">
        <v>47</v>
      </c>
      <c r="P125" s="17"/>
      <c r="Q125" s="8"/>
      <c r="R125" s="17"/>
      <c r="S125" s="8"/>
      <c r="T125" s="17"/>
      <c r="U125" s="8"/>
      <c r="V125" s="8"/>
      <c r="W125" s="17">
        <v>45073</v>
      </c>
      <c r="X125" s="8"/>
      <c r="Y125" s="21"/>
      <c r="Z125" s="17">
        <v>45077</v>
      </c>
      <c r="AA125" s="8"/>
      <c r="AB125" s="21"/>
      <c r="AC125" s="8"/>
      <c r="AD125" s="8"/>
      <c r="AE125" s="8"/>
      <c r="AF125" s="8"/>
    </row>
    <row r="126" spans="1:32" ht="30" hidden="1">
      <c r="A126" s="8">
        <v>123</v>
      </c>
      <c r="B126" s="55"/>
      <c r="C126" s="8" t="s">
        <v>191</v>
      </c>
      <c r="D126" s="8" t="s">
        <v>41</v>
      </c>
      <c r="E126" s="8" t="s">
        <v>42</v>
      </c>
      <c r="F126" s="8"/>
      <c r="G126" s="11">
        <v>45034</v>
      </c>
      <c r="H126" s="6" t="s">
        <v>190</v>
      </c>
      <c r="I126" s="4"/>
      <c r="J126" s="9"/>
      <c r="K126" s="15"/>
      <c r="L126" s="16" t="s">
        <v>46</v>
      </c>
      <c r="M126" s="17"/>
      <c r="N126" s="8"/>
      <c r="O126" s="8" t="s">
        <v>47</v>
      </c>
      <c r="P126" s="17"/>
      <c r="Q126" s="8"/>
      <c r="R126" s="17"/>
      <c r="S126" s="8"/>
      <c r="T126" s="17"/>
      <c r="U126" s="8"/>
      <c r="V126" s="8"/>
      <c r="W126" s="17">
        <v>45073</v>
      </c>
      <c r="X126" s="8"/>
      <c r="Y126" s="21"/>
      <c r="Z126" s="17">
        <v>45077</v>
      </c>
      <c r="AA126" s="8"/>
      <c r="AB126" s="21"/>
      <c r="AC126" s="8"/>
      <c r="AD126" s="8"/>
      <c r="AE126" s="8"/>
      <c r="AF126" s="8"/>
    </row>
    <row r="127" spans="1:32" ht="30" hidden="1">
      <c r="A127" s="4">
        <v>124</v>
      </c>
      <c r="B127" s="55"/>
      <c r="C127" s="8" t="s">
        <v>192</v>
      </c>
      <c r="D127" s="8" t="s">
        <v>41</v>
      </c>
      <c r="E127" s="8" t="s">
        <v>42</v>
      </c>
      <c r="F127" s="8"/>
      <c r="G127" s="11">
        <v>45034</v>
      </c>
      <c r="H127" s="6" t="s">
        <v>190</v>
      </c>
      <c r="I127" s="4"/>
      <c r="J127" s="9"/>
      <c r="K127" s="15"/>
      <c r="L127" s="16" t="s">
        <v>46</v>
      </c>
      <c r="M127" s="17"/>
      <c r="N127" s="8"/>
      <c r="O127" s="8" t="s">
        <v>47</v>
      </c>
      <c r="P127" s="17"/>
      <c r="Q127" s="8"/>
      <c r="R127" s="17"/>
      <c r="S127" s="8"/>
      <c r="T127" s="17"/>
      <c r="U127" s="8"/>
      <c r="V127" s="8"/>
      <c r="W127" s="17">
        <v>45073</v>
      </c>
      <c r="X127" s="8"/>
      <c r="Y127" s="21"/>
      <c r="Z127" s="17">
        <v>45077</v>
      </c>
      <c r="AA127" s="8"/>
      <c r="AB127" s="21"/>
      <c r="AC127" s="8"/>
      <c r="AD127" s="8"/>
      <c r="AE127" s="8"/>
      <c r="AF127" s="8"/>
    </row>
    <row r="128" spans="1:32" ht="30" hidden="1">
      <c r="A128" s="8">
        <v>125</v>
      </c>
      <c r="B128" s="55"/>
      <c r="C128" s="8" t="s">
        <v>193</v>
      </c>
      <c r="D128" s="8" t="s">
        <v>41</v>
      </c>
      <c r="E128" s="8" t="s">
        <v>42</v>
      </c>
      <c r="F128" s="8"/>
      <c r="G128" s="11">
        <v>45034</v>
      </c>
      <c r="H128" s="6" t="s">
        <v>190</v>
      </c>
      <c r="I128" s="4"/>
      <c r="J128" s="9"/>
      <c r="K128" s="15"/>
      <c r="L128" s="16" t="s">
        <v>46</v>
      </c>
      <c r="M128" s="17"/>
      <c r="N128" s="8"/>
      <c r="O128" s="8" t="s">
        <v>47</v>
      </c>
      <c r="P128" s="17"/>
      <c r="Q128" s="8"/>
      <c r="R128" s="17"/>
      <c r="S128" s="8"/>
      <c r="T128" s="17"/>
      <c r="U128" s="8"/>
      <c r="V128" s="8"/>
      <c r="W128" s="17">
        <v>45073</v>
      </c>
      <c r="X128" s="8"/>
      <c r="Y128" s="21"/>
      <c r="Z128" s="17">
        <v>45077</v>
      </c>
      <c r="AA128" s="8"/>
      <c r="AB128" s="21"/>
      <c r="AC128" s="8"/>
      <c r="AD128" s="8"/>
      <c r="AE128" s="8"/>
      <c r="AF128" s="8"/>
    </row>
    <row r="129" spans="1:32" ht="30" hidden="1">
      <c r="A129" s="4">
        <v>126</v>
      </c>
      <c r="B129" s="55"/>
      <c r="C129" s="8" t="s">
        <v>194</v>
      </c>
      <c r="D129" s="8" t="s">
        <v>41</v>
      </c>
      <c r="E129" s="8" t="s">
        <v>42</v>
      </c>
      <c r="F129" s="8"/>
      <c r="G129" s="11">
        <v>45034</v>
      </c>
      <c r="H129" s="6" t="s">
        <v>190</v>
      </c>
      <c r="I129" s="4"/>
      <c r="J129" s="9"/>
      <c r="K129" s="15"/>
      <c r="L129" s="16" t="s">
        <v>46</v>
      </c>
      <c r="M129" s="17"/>
      <c r="N129" s="8"/>
      <c r="O129" s="8" t="s">
        <v>47</v>
      </c>
      <c r="P129" s="17"/>
      <c r="Q129" s="8"/>
      <c r="R129" s="17"/>
      <c r="S129" s="8"/>
      <c r="T129" s="17"/>
      <c r="U129" s="8"/>
      <c r="V129" s="8"/>
      <c r="W129" s="17">
        <v>45073</v>
      </c>
      <c r="X129" s="8"/>
      <c r="Y129" s="21"/>
      <c r="Z129" s="17">
        <v>45077</v>
      </c>
      <c r="AA129" s="8"/>
      <c r="AB129" s="21"/>
      <c r="AC129" s="8"/>
      <c r="AD129" s="8"/>
      <c r="AE129" s="8"/>
      <c r="AF129" s="8"/>
    </row>
    <row r="130" spans="1:32" ht="30" hidden="1">
      <c r="A130" s="8">
        <v>127</v>
      </c>
      <c r="B130" s="55" t="s">
        <v>201</v>
      </c>
      <c r="C130" s="8" t="s">
        <v>189</v>
      </c>
      <c r="D130" s="8" t="s">
        <v>41</v>
      </c>
      <c r="E130" s="8" t="s">
        <v>42</v>
      </c>
      <c r="F130" s="8"/>
      <c r="G130" s="11">
        <v>45034</v>
      </c>
      <c r="H130" s="6" t="s">
        <v>190</v>
      </c>
      <c r="I130" s="4"/>
      <c r="J130" s="9"/>
      <c r="K130" s="15"/>
      <c r="L130" s="16" t="s">
        <v>46</v>
      </c>
      <c r="M130" s="17"/>
      <c r="N130" s="8"/>
      <c r="O130" s="8" t="s">
        <v>47</v>
      </c>
      <c r="P130" s="17"/>
      <c r="Q130" s="8"/>
      <c r="R130" s="17"/>
      <c r="S130" s="8"/>
      <c r="T130" s="17"/>
      <c r="U130" s="8"/>
      <c r="V130" s="8"/>
      <c r="W130" s="17">
        <v>45073</v>
      </c>
      <c r="X130" s="8"/>
      <c r="Y130" s="21"/>
      <c r="Z130" s="17">
        <v>45077</v>
      </c>
      <c r="AA130" s="8"/>
      <c r="AB130" s="21"/>
      <c r="AC130" s="8"/>
      <c r="AD130" s="8"/>
      <c r="AE130" s="8"/>
      <c r="AF130" s="8"/>
    </row>
    <row r="131" spans="1:32" ht="30" hidden="1">
      <c r="A131" s="4">
        <v>128</v>
      </c>
      <c r="B131" s="55"/>
      <c r="C131" s="8" t="s">
        <v>191</v>
      </c>
      <c r="D131" s="8" t="s">
        <v>41</v>
      </c>
      <c r="E131" s="8" t="s">
        <v>42</v>
      </c>
      <c r="F131" s="8"/>
      <c r="G131" s="11">
        <v>45034</v>
      </c>
      <c r="H131" s="6" t="s">
        <v>190</v>
      </c>
      <c r="I131" s="4"/>
      <c r="J131" s="9"/>
      <c r="K131" s="15"/>
      <c r="L131" s="16" t="s">
        <v>46</v>
      </c>
      <c r="M131" s="17"/>
      <c r="N131" s="8"/>
      <c r="O131" s="8" t="s">
        <v>47</v>
      </c>
      <c r="P131" s="17"/>
      <c r="Q131" s="8"/>
      <c r="R131" s="17"/>
      <c r="S131" s="8"/>
      <c r="T131" s="17"/>
      <c r="U131" s="8"/>
      <c r="V131" s="8"/>
      <c r="W131" s="17">
        <v>45073</v>
      </c>
      <c r="X131" s="8"/>
      <c r="Y131" s="21"/>
      <c r="Z131" s="17">
        <v>45077</v>
      </c>
      <c r="AA131" s="8"/>
      <c r="AB131" s="21"/>
      <c r="AC131" s="8"/>
      <c r="AD131" s="8"/>
      <c r="AE131" s="8"/>
      <c r="AF131" s="8"/>
    </row>
    <row r="132" spans="1:32" ht="30" hidden="1">
      <c r="A132" s="8">
        <v>129</v>
      </c>
      <c r="B132" s="55"/>
      <c r="C132" s="8" t="s">
        <v>192</v>
      </c>
      <c r="D132" s="8" t="s">
        <v>41</v>
      </c>
      <c r="E132" s="8" t="s">
        <v>42</v>
      </c>
      <c r="F132" s="8"/>
      <c r="G132" s="11">
        <v>45034</v>
      </c>
      <c r="H132" s="6" t="s">
        <v>190</v>
      </c>
      <c r="I132" s="4"/>
      <c r="J132" s="9"/>
      <c r="K132" s="15"/>
      <c r="L132" s="16" t="s">
        <v>46</v>
      </c>
      <c r="M132" s="17"/>
      <c r="N132" s="8"/>
      <c r="O132" s="8" t="s">
        <v>47</v>
      </c>
      <c r="P132" s="17"/>
      <c r="Q132" s="8"/>
      <c r="R132" s="17"/>
      <c r="S132" s="8"/>
      <c r="T132" s="17"/>
      <c r="U132" s="8"/>
      <c r="V132" s="8"/>
      <c r="W132" s="17">
        <v>45073</v>
      </c>
      <c r="X132" s="8"/>
      <c r="Y132" s="21"/>
      <c r="Z132" s="17">
        <v>45077</v>
      </c>
      <c r="AA132" s="8"/>
      <c r="AB132" s="21"/>
      <c r="AC132" s="8"/>
      <c r="AD132" s="8"/>
      <c r="AE132" s="8"/>
      <c r="AF132" s="8"/>
    </row>
    <row r="133" spans="1:32" ht="30" hidden="1">
      <c r="A133" s="4">
        <v>130</v>
      </c>
      <c r="B133" s="55"/>
      <c r="C133" s="8" t="s">
        <v>193</v>
      </c>
      <c r="D133" s="8" t="s">
        <v>41</v>
      </c>
      <c r="E133" s="8" t="s">
        <v>42</v>
      </c>
      <c r="F133" s="8"/>
      <c r="G133" s="11">
        <v>45034</v>
      </c>
      <c r="H133" s="6" t="s">
        <v>190</v>
      </c>
      <c r="I133" s="4"/>
      <c r="J133" s="9"/>
      <c r="K133" s="15"/>
      <c r="L133" s="16" t="s">
        <v>46</v>
      </c>
      <c r="M133" s="17"/>
      <c r="N133" s="8"/>
      <c r="O133" s="8" t="s">
        <v>47</v>
      </c>
      <c r="P133" s="17"/>
      <c r="Q133" s="8"/>
      <c r="R133" s="17"/>
      <c r="S133" s="8"/>
      <c r="T133" s="17"/>
      <c r="U133" s="8"/>
      <c r="V133" s="8"/>
      <c r="W133" s="17">
        <v>45073</v>
      </c>
      <c r="X133" s="8"/>
      <c r="Y133" s="21"/>
      <c r="Z133" s="17">
        <v>45077</v>
      </c>
      <c r="AA133" s="8"/>
      <c r="AB133" s="21"/>
      <c r="AC133" s="8"/>
      <c r="AD133" s="8"/>
      <c r="AE133" s="8"/>
      <c r="AF133" s="8"/>
    </row>
    <row r="134" spans="1:32" ht="30" hidden="1">
      <c r="A134" s="8">
        <v>131</v>
      </c>
      <c r="B134" s="55"/>
      <c r="C134" s="8" t="s">
        <v>194</v>
      </c>
      <c r="D134" s="8" t="s">
        <v>41</v>
      </c>
      <c r="E134" s="8" t="s">
        <v>42</v>
      </c>
      <c r="F134" s="8"/>
      <c r="G134" s="11">
        <v>45034</v>
      </c>
      <c r="H134" s="6" t="s">
        <v>190</v>
      </c>
      <c r="I134" s="4"/>
      <c r="J134" s="9"/>
      <c r="K134" s="15"/>
      <c r="L134" s="16" t="s">
        <v>46</v>
      </c>
      <c r="M134" s="17"/>
      <c r="N134" s="8"/>
      <c r="O134" s="8" t="s">
        <v>47</v>
      </c>
      <c r="P134" s="17"/>
      <c r="Q134" s="8"/>
      <c r="R134" s="17"/>
      <c r="S134" s="8"/>
      <c r="T134" s="17"/>
      <c r="U134" s="8"/>
      <c r="V134" s="8"/>
      <c r="W134" s="17">
        <v>45073</v>
      </c>
      <c r="X134" s="8"/>
      <c r="Y134" s="21"/>
      <c r="Z134" s="17">
        <v>45077</v>
      </c>
      <c r="AA134" s="8"/>
      <c r="AB134" s="21"/>
      <c r="AC134" s="8"/>
      <c r="AD134" s="8"/>
      <c r="AE134" s="8"/>
      <c r="AF134" s="8"/>
    </row>
    <row r="135" spans="1:32" ht="30" hidden="1">
      <c r="A135" s="4">
        <v>132</v>
      </c>
      <c r="B135" s="55" t="s">
        <v>202</v>
      </c>
      <c r="C135" s="8" t="s">
        <v>189</v>
      </c>
      <c r="D135" s="8" t="s">
        <v>41</v>
      </c>
      <c r="E135" s="8" t="s">
        <v>42</v>
      </c>
      <c r="F135" s="8"/>
      <c r="G135" s="11">
        <v>45034</v>
      </c>
      <c r="H135" s="6" t="s">
        <v>190</v>
      </c>
      <c r="I135" s="4"/>
      <c r="J135" s="9"/>
      <c r="K135" s="15"/>
      <c r="L135" s="16" t="s">
        <v>46</v>
      </c>
      <c r="M135" s="17"/>
      <c r="N135" s="8"/>
      <c r="O135" s="8" t="s">
        <v>47</v>
      </c>
      <c r="P135" s="17"/>
      <c r="Q135" s="8"/>
      <c r="R135" s="17"/>
      <c r="S135" s="8"/>
      <c r="T135" s="17"/>
      <c r="U135" s="8"/>
      <c r="V135" s="8"/>
      <c r="W135" s="17">
        <v>45073</v>
      </c>
      <c r="X135" s="8"/>
      <c r="Y135" s="21"/>
      <c r="Z135" s="17">
        <v>45077</v>
      </c>
      <c r="AA135" s="8"/>
      <c r="AB135" s="21"/>
      <c r="AC135" s="8"/>
      <c r="AD135" s="8"/>
      <c r="AE135" s="8"/>
      <c r="AF135" s="8"/>
    </row>
    <row r="136" spans="1:32" ht="30" hidden="1">
      <c r="A136" s="8">
        <v>133</v>
      </c>
      <c r="B136" s="55"/>
      <c r="C136" s="8" t="s">
        <v>191</v>
      </c>
      <c r="D136" s="8" t="s">
        <v>41</v>
      </c>
      <c r="E136" s="8" t="s">
        <v>42</v>
      </c>
      <c r="F136" s="8"/>
      <c r="G136" s="11">
        <v>45034</v>
      </c>
      <c r="H136" s="6" t="s">
        <v>190</v>
      </c>
      <c r="I136" s="4"/>
      <c r="J136" s="9"/>
      <c r="K136" s="15"/>
      <c r="L136" s="16" t="s">
        <v>46</v>
      </c>
      <c r="M136" s="17"/>
      <c r="N136" s="8"/>
      <c r="O136" s="8" t="s">
        <v>47</v>
      </c>
      <c r="P136" s="17"/>
      <c r="Q136" s="8"/>
      <c r="R136" s="17"/>
      <c r="S136" s="8"/>
      <c r="T136" s="17"/>
      <c r="U136" s="8"/>
      <c r="V136" s="8"/>
      <c r="W136" s="17">
        <v>45073</v>
      </c>
      <c r="X136" s="8"/>
      <c r="Y136" s="21"/>
      <c r="Z136" s="17">
        <v>45077</v>
      </c>
      <c r="AA136" s="8"/>
      <c r="AB136" s="21"/>
      <c r="AC136" s="8"/>
      <c r="AD136" s="8"/>
      <c r="AE136" s="8"/>
      <c r="AF136" s="8"/>
    </row>
    <row r="137" spans="1:32" ht="30" hidden="1">
      <c r="A137" s="4">
        <v>134</v>
      </c>
      <c r="B137" s="55"/>
      <c r="C137" s="8" t="s">
        <v>192</v>
      </c>
      <c r="D137" s="8" t="s">
        <v>41</v>
      </c>
      <c r="E137" s="8" t="s">
        <v>42</v>
      </c>
      <c r="F137" s="8"/>
      <c r="G137" s="11">
        <v>45034</v>
      </c>
      <c r="H137" s="6" t="s">
        <v>190</v>
      </c>
      <c r="I137" s="4"/>
      <c r="J137" s="9"/>
      <c r="K137" s="15"/>
      <c r="L137" s="16" t="s">
        <v>46</v>
      </c>
      <c r="M137" s="17"/>
      <c r="N137" s="8"/>
      <c r="O137" s="8" t="s">
        <v>47</v>
      </c>
      <c r="P137" s="17"/>
      <c r="Q137" s="8"/>
      <c r="R137" s="17"/>
      <c r="S137" s="8"/>
      <c r="T137" s="17"/>
      <c r="U137" s="8"/>
      <c r="V137" s="8"/>
      <c r="W137" s="17">
        <v>45073</v>
      </c>
      <c r="X137" s="8"/>
      <c r="Y137" s="21"/>
      <c r="Z137" s="17">
        <v>45077</v>
      </c>
      <c r="AA137" s="8"/>
      <c r="AB137" s="21"/>
      <c r="AC137" s="8"/>
      <c r="AD137" s="8"/>
      <c r="AE137" s="8"/>
      <c r="AF137" s="8"/>
    </row>
    <row r="138" spans="1:32" ht="30" hidden="1">
      <c r="A138" s="8">
        <v>135</v>
      </c>
      <c r="B138" s="55"/>
      <c r="C138" s="8" t="s">
        <v>193</v>
      </c>
      <c r="D138" s="8" t="s">
        <v>41</v>
      </c>
      <c r="E138" s="8" t="s">
        <v>42</v>
      </c>
      <c r="F138" s="8"/>
      <c r="G138" s="11">
        <v>45034</v>
      </c>
      <c r="H138" s="6" t="s">
        <v>190</v>
      </c>
      <c r="I138" s="4"/>
      <c r="J138" s="9"/>
      <c r="K138" s="15"/>
      <c r="L138" s="16" t="s">
        <v>46</v>
      </c>
      <c r="M138" s="17"/>
      <c r="N138" s="8"/>
      <c r="O138" s="8" t="s">
        <v>47</v>
      </c>
      <c r="P138" s="17"/>
      <c r="Q138" s="8"/>
      <c r="R138" s="17"/>
      <c r="S138" s="8"/>
      <c r="T138" s="17"/>
      <c r="U138" s="8"/>
      <c r="V138" s="8"/>
      <c r="W138" s="17">
        <v>45073</v>
      </c>
      <c r="X138" s="8"/>
      <c r="Y138" s="21"/>
      <c r="Z138" s="17">
        <v>45077</v>
      </c>
      <c r="AA138" s="8"/>
      <c r="AB138" s="21"/>
      <c r="AC138" s="8"/>
      <c r="AD138" s="8"/>
      <c r="AE138" s="8"/>
      <c r="AF138" s="8"/>
    </row>
    <row r="139" spans="1:32" ht="30" hidden="1">
      <c r="A139" s="4">
        <v>136</v>
      </c>
      <c r="B139" s="55"/>
      <c r="C139" s="8" t="s">
        <v>194</v>
      </c>
      <c r="D139" s="8" t="s">
        <v>41</v>
      </c>
      <c r="E139" s="8" t="s">
        <v>42</v>
      </c>
      <c r="F139" s="8"/>
      <c r="G139" s="11">
        <v>45034</v>
      </c>
      <c r="H139" s="6" t="s">
        <v>190</v>
      </c>
      <c r="I139" s="4"/>
      <c r="J139" s="9"/>
      <c r="K139" s="15"/>
      <c r="L139" s="16" t="s">
        <v>46</v>
      </c>
      <c r="M139" s="17"/>
      <c r="N139" s="8"/>
      <c r="O139" s="8" t="s">
        <v>47</v>
      </c>
      <c r="P139" s="17"/>
      <c r="Q139" s="8"/>
      <c r="R139" s="17"/>
      <c r="S139" s="8"/>
      <c r="T139" s="17"/>
      <c r="U139" s="8"/>
      <c r="V139" s="8"/>
      <c r="W139" s="17">
        <v>45073</v>
      </c>
      <c r="X139" s="8"/>
      <c r="Y139" s="21"/>
      <c r="Z139" s="17">
        <v>45077</v>
      </c>
      <c r="AA139" s="8"/>
      <c r="AB139" s="21"/>
      <c r="AC139" s="8"/>
      <c r="AD139" s="8"/>
      <c r="AE139" s="8"/>
      <c r="AF139" s="8"/>
    </row>
    <row r="140" spans="1:32" ht="30" hidden="1">
      <c r="A140" s="8">
        <v>137</v>
      </c>
      <c r="B140" s="55" t="s">
        <v>203</v>
      </c>
      <c r="C140" s="8" t="s">
        <v>189</v>
      </c>
      <c r="D140" s="8" t="s">
        <v>41</v>
      </c>
      <c r="E140" s="8" t="s">
        <v>42</v>
      </c>
      <c r="F140" s="8"/>
      <c r="G140" s="11">
        <v>45034</v>
      </c>
      <c r="H140" s="6" t="s">
        <v>190</v>
      </c>
      <c r="I140" s="4"/>
      <c r="J140" s="9"/>
      <c r="K140" s="15"/>
      <c r="L140" s="16" t="s">
        <v>46</v>
      </c>
      <c r="M140" s="17"/>
      <c r="N140" s="8"/>
      <c r="O140" s="8" t="s">
        <v>47</v>
      </c>
      <c r="P140" s="17"/>
      <c r="Q140" s="8"/>
      <c r="R140" s="17"/>
      <c r="S140" s="8"/>
      <c r="T140" s="17"/>
      <c r="U140" s="8"/>
      <c r="V140" s="8"/>
      <c r="W140" s="17">
        <v>45073</v>
      </c>
      <c r="X140" s="8"/>
      <c r="Y140" s="21"/>
      <c r="Z140" s="17">
        <v>45077</v>
      </c>
      <c r="AA140" s="8"/>
      <c r="AB140" s="21"/>
      <c r="AC140" s="8"/>
      <c r="AD140" s="8"/>
      <c r="AE140" s="8"/>
      <c r="AF140" s="8"/>
    </row>
    <row r="141" spans="1:32" ht="30" hidden="1">
      <c r="A141" s="4">
        <v>138</v>
      </c>
      <c r="B141" s="55"/>
      <c r="C141" s="8" t="s">
        <v>191</v>
      </c>
      <c r="D141" s="8" t="s">
        <v>41</v>
      </c>
      <c r="E141" s="8" t="s">
        <v>42</v>
      </c>
      <c r="F141" s="8"/>
      <c r="G141" s="11">
        <v>45034</v>
      </c>
      <c r="H141" s="6" t="s">
        <v>190</v>
      </c>
      <c r="I141" s="4"/>
      <c r="J141" s="9"/>
      <c r="K141" s="15"/>
      <c r="L141" s="16" t="s">
        <v>46</v>
      </c>
      <c r="M141" s="17"/>
      <c r="N141" s="8"/>
      <c r="O141" s="8" t="s">
        <v>47</v>
      </c>
      <c r="P141" s="17"/>
      <c r="Q141" s="8"/>
      <c r="R141" s="17"/>
      <c r="S141" s="8"/>
      <c r="T141" s="17"/>
      <c r="U141" s="8"/>
      <c r="V141" s="8"/>
      <c r="W141" s="17">
        <v>45073</v>
      </c>
      <c r="X141" s="8"/>
      <c r="Y141" s="21"/>
      <c r="Z141" s="17">
        <v>45077</v>
      </c>
      <c r="AA141" s="8"/>
      <c r="AB141" s="21"/>
      <c r="AC141" s="8"/>
      <c r="AD141" s="8"/>
      <c r="AE141" s="8"/>
      <c r="AF141" s="8"/>
    </row>
    <row r="142" spans="1:32" ht="30" hidden="1">
      <c r="A142" s="8">
        <v>139</v>
      </c>
      <c r="B142" s="55"/>
      <c r="C142" s="8" t="s">
        <v>192</v>
      </c>
      <c r="D142" s="8" t="s">
        <v>41</v>
      </c>
      <c r="E142" s="8" t="s">
        <v>42</v>
      </c>
      <c r="F142" s="8"/>
      <c r="G142" s="11">
        <v>45034</v>
      </c>
      <c r="H142" s="6" t="s">
        <v>190</v>
      </c>
      <c r="I142" s="4"/>
      <c r="J142" s="9"/>
      <c r="K142" s="15"/>
      <c r="L142" s="16" t="s">
        <v>46</v>
      </c>
      <c r="M142" s="17"/>
      <c r="N142" s="8"/>
      <c r="O142" s="8" t="s">
        <v>47</v>
      </c>
      <c r="P142" s="17"/>
      <c r="Q142" s="8"/>
      <c r="R142" s="17"/>
      <c r="S142" s="8"/>
      <c r="T142" s="17"/>
      <c r="U142" s="8"/>
      <c r="V142" s="8"/>
      <c r="W142" s="17">
        <v>45073</v>
      </c>
      <c r="X142" s="8"/>
      <c r="Y142" s="21"/>
      <c r="Z142" s="17">
        <v>45077</v>
      </c>
      <c r="AA142" s="8"/>
      <c r="AB142" s="21"/>
      <c r="AC142" s="8"/>
      <c r="AD142" s="8"/>
      <c r="AE142" s="8"/>
      <c r="AF142" s="8"/>
    </row>
    <row r="143" spans="1:32" ht="30" hidden="1">
      <c r="A143" s="4">
        <v>140</v>
      </c>
      <c r="B143" s="55"/>
      <c r="C143" s="8" t="s">
        <v>193</v>
      </c>
      <c r="D143" s="8" t="s">
        <v>41</v>
      </c>
      <c r="E143" s="8" t="s">
        <v>42</v>
      </c>
      <c r="F143" s="8"/>
      <c r="G143" s="11">
        <v>45034</v>
      </c>
      <c r="H143" s="6" t="s">
        <v>190</v>
      </c>
      <c r="I143" s="4"/>
      <c r="J143" s="9"/>
      <c r="K143" s="15"/>
      <c r="L143" s="16" t="s">
        <v>46</v>
      </c>
      <c r="M143" s="17"/>
      <c r="N143" s="8"/>
      <c r="O143" s="8" t="s">
        <v>47</v>
      </c>
      <c r="P143" s="17"/>
      <c r="Q143" s="8"/>
      <c r="R143" s="17"/>
      <c r="S143" s="8"/>
      <c r="T143" s="17"/>
      <c r="U143" s="8"/>
      <c r="V143" s="8"/>
      <c r="W143" s="17">
        <v>45073</v>
      </c>
      <c r="X143" s="8"/>
      <c r="Y143" s="21"/>
      <c r="Z143" s="17">
        <v>45077</v>
      </c>
      <c r="AA143" s="8"/>
      <c r="AB143" s="21"/>
      <c r="AC143" s="8"/>
      <c r="AD143" s="8"/>
      <c r="AE143" s="8"/>
      <c r="AF143" s="8"/>
    </row>
    <row r="144" spans="1:32" ht="30" hidden="1">
      <c r="A144" s="8">
        <v>141</v>
      </c>
      <c r="B144" s="55"/>
      <c r="C144" s="8" t="s">
        <v>194</v>
      </c>
      <c r="D144" s="8" t="s">
        <v>41</v>
      </c>
      <c r="E144" s="8" t="s">
        <v>42</v>
      </c>
      <c r="F144" s="8"/>
      <c r="G144" s="11">
        <v>45034</v>
      </c>
      <c r="H144" s="6" t="s">
        <v>190</v>
      </c>
      <c r="I144" s="4"/>
      <c r="J144" s="9"/>
      <c r="K144" s="15"/>
      <c r="L144" s="16" t="s">
        <v>46</v>
      </c>
      <c r="M144" s="17"/>
      <c r="N144" s="8"/>
      <c r="O144" s="8" t="s">
        <v>47</v>
      </c>
      <c r="P144" s="17"/>
      <c r="Q144" s="8"/>
      <c r="R144" s="17"/>
      <c r="S144" s="8"/>
      <c r="T144" s="17"/>
      <c r="U144" s="8"/>
      <c r="V144" s="8"/>
      <c r="W144" s="17">
        <v>45073</v>
      </c>
      <c r="X144" s="8"/>
      <c r="Y144" s="21"/>
      <c r="Z144" s="17">
        <v>45077</v>
      </c>
      <c r="AA144" s="8"/>
      <c r="AB144" s="21"/>
      <c r="AC144" s="8"/>
      <c r="AD144" s="8"/>
      <c r="AE144" s="8"/>
      <c r="AF144" s="8"/>
    </row>
    <row r="145" spans="1:32" ht="30" hidden="1">
      <c r="A145" s="4">
        <v>142</v>
      </c>
      <c r="B145" s="55" t="s">
        <v>204</v>
      </c>
      <c r="C145" s="8" t="s">
        <v>189</v>
      </c>
      <c r="D145" s="8" t="s">
        <v>41</v>
      </c>
      <c r="E145" s="8" t="s">
        <v>42</v>
      </c>
      <c r="F145" s="8"/>
      <c r="G145" s="11">
        <v>45034</v>
      </c>
      <c r="H145" s="6" t="s">
        <v>190</v>
      </c>
      <c r="I145" s="4"/>
      <c r="J145" s="9"/>
      <c r="K145" s="15"/>
      <c r="L145" s="16" t="s">
        <v>46</v>
      </c>
      <c r="M145" s="17"/>
      <c r="N145" s="8"/>
      <c r="O145" s="8" t="s">
        <v>47</v>
      </c>
      <c r="P145" s="17"/>
      <c r="Q145" s="8"/>
      <c r="R145" s="17"/>
      <c r="S145" s="8"/>
      <c r="T145" s="17"/>
      <c r="U145" s="8"/>
      <c r="V145" s="8"/>
      <c r="W145" s="17">
        <v>45073</v>
      </c>
      <c r="X145" s="8"/>
      <c r="Y145" s="21"/>
      <c r="Z145" s="17">
        <v>45077</v>
      </c>
      <c r="AA145" s="8"/>
      <c r="AB145" s="21"/>
      <c r="AC145" s="8"/>
      <c r="AD145" s="8"/>
      <c r="AE145" s="8"/>
      <c r="AF145" s="8"/>
    </row>
    <row r="146" spans="1:32" ht="30" hidden="1">
      <c r="A146" s="8">
        <v>143</v>
      </c>
      <c r="B146" s="55"/>
      <c r="C146" s="8" t="s">
        <v>191</v>
      </c>
      <c r="D146" s="8" t="s">
        <v>41</v>
      </c>
      <c r="E146" s="8" t="s">
        <v>42</v>
      </c>
      <c r="F146" s="8"/>
      <c r="G146" s="11">
        <v>45034</v>
      </c>
      <c r="H146" s="6" t="s">
        <v>190</v>
      </c>
      <c r="I146" s="4"/>
      <c r="J146" s="9"/>
      <c r="K146" s="15"/>
      <c r="L146" s="16" t="s">
        <v>46</v>
      </c>
      <c r="M146" s="17"/>
      <c r="N146" s="8"/>
      <c r="O146" s="8" t="s">
        <v>47</v>
      </c>
      <c r="P146" s="17"/>
      <c r="Q146" s="8"/>
      <c r="R146" s="17"/>
      <c r="S146" s="8"/>
      <c r="T146" s="17"/>
      <c r="U146" s="8"/>
      <c r="V146" s="8"/>
      <c r="W146" s="17">
        <v>45073</v>
      </c>
      <c r="X146" s="8"/>
      <c r="Y146" s="21"/>
      <c r="Z146" s="17">
        <v>45077</v>
      </c>
      <c r="AA146" s="8"/>
      <c r="AB146" s="21"/>
      <c r="AC146" s="8"/>
      <c r="AD146" s="8"/>
      <c r="AE146" s="8"/>
      <c r="AF146" s="8"/>
    </row>
    <row r="147" spans="1:32" ht="30" hidden="1">
      <c r="A147" s="4">
        <v>144</v>
      </c>
      <c r="B147" s="55"/>
      <c r="C147" s="8" t="s">
        <v>192</v>
      </c>
      <c r="D147" s="8" t="s">
        <v>41</v>
      </c>
      <c r="E147" s="8" t="s">
        <v>42</v>
      </c>
      <c r="F147" s="8"/>
      <c r="G147" s="11">
        <v>45034</v>
      </c>
      <c r="H147" s="6" t="s">
        <v>190</v>
      </c>
      <c r="I147" s="4"/>
      <c r="J147" s="9"/>
      <c r="K147" s="15"/>
      <c r="L147" s="16" t="s">
        <v>46</v>
      </c>
      <c r="M147" s="17"/>
      <c r="N147" s="8"/>
      <c r="O147" s="8" t="s">
        <v>47</v>
      </c>
      <c r="P147" s="17"/>
      <c r="Q147" s="8"/>
      <c r="R147" s="17"/>
      <c r="S147" s="8"/>
      <c r="T147" s="17"/>
      <c r="U147" s="8"/>
      <c r="V147" s="8"/>
      <c r="W147" s="17">
        <v>45073</v>
      </c>
      <c r="X147" s="8"/>
      <c r="Y147" s="21"/>
      <c r="Z147" s="17">
        <v>45077</v>
      </c>
      <c r="AA147" s="8"/>
      <c r="AB147" s="21"/>
      <c r="AC147" s="8"/>
      <c r="AD147" s="8"/>
      <c r="AE147" s="8"/>
      <c r="AF147" s="8"/>
    </row>
    <row r="148" spans="1:32" ht="30" hidden="1">
      <c r="A148" s="8">
        <v>145</v>
      </c>
      <c r="B148" s="55"/>
      <c r="C148" s="8" t="s">
        <v>193</v>
      </c>
      <c r="D148" s="8" t="s">
        <v>41</v>
      </c>
      <c r="E148" s="8" t="s">
        <v>42</v>
      </c>
      <c r="F148" s="8"/>
      <c r="G148" s="11">
        <v>45034</v>
      </c>
      <c r="H148" s="6" t="s">
        <v>190</v>
      </c>
      <c r="I148" s="4"/>
      <c r="J148" s="9"/>
      <c r="K148" s="15"/>
      <c r="L148" s="16" t="s">
        <v>46</v>
      </c>
      <c r="M148" s="17"/>
      <c r="N148" s="8"/>
      <c r="O148" s="8" t="s">
        <v>47</v>
      </c>
      <c r="P148" s="17"/>
      <c r="Q148" s="8"/>
      <c r="R148" s="17"/>
      <c r="S148" s="8"/>
      <c r="T148" s="17"/>
      <c r="U148" s="8"/>
      <c r="V148" s="8"/>
      <c r="W148" s="17">
        <v>45073</v>
      </c>
      <c r="X148" s="8"/>
      <c r="Y148" s="21"/>
      <c r="Z148" s="17">
        <v>45077</v>
      </c>
      <c r="AA148" s="8"/>
      <c r="AB148" s="21"/>
      <c r="AC148" s="8"/>
      <c r="AD148" s="8"/>
      <c r="AE148" s="8"/>
      <c r="AF148" s="8"/>
    </row>
    <row r="149" spans="1:32" ht="30" hidden="1">
      <c r="A149" s="4">
        <v>146</v>
      </c>
      <c r="B149" s="55"/>
      <c r="C149" s="8" t="s">
        <v>194</v>
      </c>
      <c r="D149" s="8" t="s">
        <v>41</v>
      </c>
      <c r="E149" s="8" t="s">
        <v>42</v>
      </c>
      <c r="F149" s="8"/>
      <c r="G149" s="11">
        <v>45034</v>
      </c>
      <c r="H149" s="6" t="s">
        <v>190</v>
      </c>
      <c r="I149" s="4"/>
      <c r="J149" s="9"/>
      <c r="K149" s="15"/>
      <c r="L149" s="16" t="s">
        <v>46</v>
      </c>
      <c r="M149" s="17"/>
      <c r="N149" s="8"/>
      <c r="O149" s="8" t="s">
        <v>47</v>
      </c>
      <c r="P149" s="17"/>
      <c r="Q149" s="8"/>
      <c r="R149" s="17"/>
      <c r="S149" s="8"/>
      <c r="T149" s="17"/>
      <c r="U149" s="8"/>
      <c r="V149" s="8"/>
      <c r="W149" s="17">
        <v>45073</v>
      </c>
      <c r="X149" s="8"/>
      <c r="Y149" s="21"/>
      <c r="Z149" s="17">
        <v>45077</v>
      </c>
      <c r="AA149" s="8"/>
      <c r="AB149" s="21"/>
      <c r="AC149" s="8"/>
      <c r="AD149" s="8"/>
      <c r="AE149" s="8"/>
      <c r="AF149" s="8"/>
    </row>
    <row r="150" spans="1:32" ht="30" hidden="1">
      <c r="A150" s="8">
        <v>147</v>
      </c>
      <c r="B150" s="55" t="s">
        <v>205</v>
      </c>
      <c r="C150" s="8" t="s">
        <v>189</v>
      </c>
      <c r="D150" s="8" t="s">
        <v>41</v>
      </c>
      <c r="E150" s="8" t="s">
        <v>42</v>
      </c>
      <c r="F150" s="8"/>
      <c r="G150" s="11">
        <v>45034</v>
      </c>
      <c r="H150" s="6" t="s">
        <v>190</v>
      </c>
      <c r="I150" s="4"/>
      <c r="J150" s="9"/>
      <c r="K150" s="15"/>
      <c r="L150" s="16" t="s">
        <v>46</v>
      </c>
      <c r="M150" s="17"/>
      <c r="N150" s="8"/>
      <c r="O150" s="8" t="s">
        <v>47</v>
      </c>
      <c r="P150" s="17"/>
      <c r="Q150" s="8"/>
      <c r="R150" s="17"/>
      <c r="S150" s="8"/>
      <c r="T150" s="17"/>
      <c r="U150" s="8"/>
      <c r="V150" s="8"/>
      <c r="W150" s="17">
        <v>45073</v>
      </c>
      <c r="X150" s="8"/>
      <c r="Y150" s="21"/>
      <c r="Z150" s="17">
        <v>45077</v>
      </c>
      <c r="AA150" s="8"/>
      <c r="AB150" s="21"/>
      <c r="AC150" s="8"/>
      <c r="AD150" s="8"/>
      <c r="AE150" s="8"/>
      <c r="AF150" s="8"/>
    </row>
    <row r="151" spans="1:32" ht="30" hidden="1">
      <c r="A151" s="4">
        <v>148</v>
      </c>
      <c r="B151" s="55"/>
      <c r="C151" s="8" t="s">
        <v>191</v>
      </c>
      <c r="D151" s="8" t="s">
        <v>41</v>
      </c>
      <c r="E151" s="8" t="s">
        <v>42</v>
      </c>
      <c r="F151" s="8"/>
      <c r="G151" s="11">
        <v>45034</v>
      </c>
      <c r="H151" s="6" t="s">
        <v>190</v>
      </c>
      <c r="I151" s="4"/>
      <c r="J151" s="9"/>
      <c r="K151" s="15"/>
      <c r="L151" s="16" t="s">
        <v>46</v>
      </c>
      <c r="M151" s="17"/>
      <c r="N151" s="8"/>
      <c r="O151" s="8" t="s">
        <v>47</v>
      </c>
      <c r="P151" s="17"/>
      <c r="Q151" s="8"/>
      <c r="R151" s="17"/>
      <c r="S151" s="8"/>
      <c r="T151" s="17"/>
      <c r="U151" s="8"/>
      <c r="V151" s="8"/>
      <c r="W151" s="17">
        <v>45073</v>
      </c>
      <c r="X151" s="8"/>
      <c r="Y151" s="21"/>
      <c r="Z151" s="17">
        <v>45077</v>
      </c>
      <c r="AA151" s="8"/>
      <c r="AB151" s="21"/>
      <c r="AC151" s="8"/>
      <c r="AD151" s="8"/>
      <c r="AE151" s="8"/>
      <c r="AF151" s="8"/>
    </row>
    <row r="152" spans="1:32" ht="30" hidden="1">
      <c r="A152" s="8">
        <v>149</v>
      </c>
      <c r="B152" s="55"/>
      <c r="C152" s="8" t="s">
        <v>192</v>
      </c>
      <c r="D152" s="8" t="s">
        <v>41</v>
      </c>
      <c r="E152" s="8" t="s">
        <v>42</v>
      </c>
      <c r="F152" s="8"/>
      <c r="G152" s="11">
        <v>45034</v>
      </c>
      <c r="H152" s="6" t="s">
        <v>190</v>
      </c>
      <c r="I152" s="4"/>
      <c r="J152" s="9"/>
      <c r="K152" s="15"/>
      <c r="L152" s="16" t="s">
        <v>46</v>
      </c>
      <c r="M152" s="17"/>
      <c r="N152" s="8"/>
      <c r="O152" s="8" t="s">
        <v>47</v>
      </c>
      <c r="P152" s="17"/>
      <c r="Q152" s="8"/>
      <c r="R152" s="17"/>
      <c r="S152" s="8"/>
      <c r="T152" s="17"/>
      <c r="U152" s="8"/>
      <c r="V152" s="8"/>
      <c r="W152" s="17">
        <v>45073</v>
      </c>
      <c r="X152" s="8"/>
      <c r="Y152" s="21"/>
      <c r="Z152" s="17">
        <v>45077</v>
      </c>
      <c r="AA152" s="8"/>
      <c r="AB152" s="21"/>
      <c r="AC152" s="8"/>
      <c r="AD152" s="8"/>
      <c r="AE152" s="8"/>
      <c r="AF152" s="8"/>
    </row>
    <row r="153" spans="1:32" ht="30" hidden="1">
      <c r="A153" s="4">
        <v>150</v>
      </c>
      <c r="B153" s="55"/>
      <c r="C153" s="8" t="s">
        <v>193</v>
      </c>
      <c r="D153" s="8" t="s">
        <v>41</v>
      </c>
      <c r="E153" s="8" t="s">
        <v>42</v>
      </c>
      <c r="F153" s="8"/>
      <c r="G153" s="11">
        <v>45034</v>
      </c>
      <c r="H153" s="6" t="s">
        <v>190</v>
      </c>
      <c r="I153" s="4"/>
      <c r="J153" s="9"/>
      <c r="K153" s="15"/>
      <c r="L153" s="16" t="s">
        <v>46</v>
      </c>
      <c r="M153" s="17"/>
      <c r="N153" s="8"/>
      <c r="O153" s="8" t="s">
        <v>47</v>
      </c>
      <c r="P153" s="17"/>
      <c r="Q153" s="8"/>
      <c r="R153" s="17"/>
      <c r="S153" s="8"/>
      <c r="T153" s="17"/>
      <c r="U153" s="8"/>
      <c r="V153" s="8"/>
      <c r="W153" s="17">
        <v>45073</v>
      </c>
      <c r="X153" s="8"/>
      <c r="Y153" s="21"/>
      <c r="Z153" s="17">
        <v>45077</v>
      </c>
      <c r="AA153" s="8"/>
      <c r="AB153" s="21"/>
      <c r="AC153" s="8"/>
      <c r="AD153" s="8"/>
      <c r="AE153" s="8"/>
      <c r="AF153" s="8"/>
    </row>
    <row r="154" spans="1:32" ht="30" hidden="1">
      <c r="A154" s="8">
        <v>151</v>
      </c>
      <c r="B154" s="55"/>
      <c r="C154" s="8" t="s">
        <v>194</v>
      </c>
      <c r="D154" s="8" t="s">
        <v>41</v>
      </c>
      <c r="E154" s="8" t="s">
        <v>42</v>
      </c>
      <c r="F154" s="8"/>
      <c r="G154" s="11">
        <v>45034</v>
      </c>
      <c r="H154" s="6" t="s">
        <v>190</v>
      </c>
      <c r="I154" s="4"/>
      <c r="J154" s="9"/>
      <c r="K154" s="15"/>
      <c r="L154" s="16" t="s">
        <v>46</v>
      </c>
      <c r="M154" s="17"/>
      <c r="N154" s="8"/>
      <c r="O154" s="8" t="s">
        <v>47</v>
      </c>
      <c r="P154" s="17"/>
      <c r="Q154" s="8"/>
      <c r="R154" s="17"/>
      <c r="S154" s="8"/>
      <c r="T154" s="17"/>
      <c r="U154" s="8"/>
      <c r="V154" s="8"/>
      <c r="W154" s="17">
        <v>45073</v>
      </c>
      <c r="X154" s="8"/>
      <c r="Y154" s="21"/>
      <c r="Z154" s="17">
        <v>45077</v>
      </c>
      <c r="AA154" s="8"/>
      <c r="AB154" s="21"/>
      <c r="AC154" s="8"/>
      <c r="AD154" s="8"/>
      <c r="AE154" s="8"/>
      <c r="AF154" s="8"/>
    </row>
    <row r="155" spans="1:32" ht="30" hidden="1">
      <c r="A155" s="4">
        <v>152</v>
      </c>
      <c r="B155" s="55" t="s">
        <v>206</v>
      </c>
      <c r="C155" s="8" t="s">
        <v>189</v>
      </c>
      <c r="D155" s="8" t="s">
        <v>41</v>
      </c>
      <c r="E155" s="8" t="s">
        <v>42</v>
      </c>
      <c r="F155" s="8"/>
      <c r="G155" s="11">
        <v>45034</v>
      </c>
      <c r="H155" s="6" t="s">
        <v>190</v>
      </c>
      <c r="I155" s="4"/>
      <c r="J155" s="9"/>
      <c r="K155" s="15"/>
      <c r="L155" s="16" t="s">
        <v>46</v>
      </c>
      <c r="M155" s="17"/>
      <c r="N155" s="8"/>
      <c r="O155" s="8" t="s">
        <v>47</v>
      </c>
      <c r="P155" s="17"/>
      <c r="Q155" s="8"/>
      <c r="R155" s="17"/>
      <c r="S155" s="8"/>
      <c r="T155" s="17"/>
      <c r="U155" s="8"/>
      <c r="V155" s="8"/>
      <c r="W155" s="17">
        <v>45073</v>
      </c>
      <c r="X155" s="8"/>
      <c r="Y155" s="21"/>
      <c r="Z155" s="17">
        <v>45077</v>
      </c>
      <c r="AA155" s="8"/>
      <c r="AB155" s="21"/>
      <c r="AC155" s="8"/>
      <c r="AD155" s="8"/>
      <c r="AE155" s="8"/>
      <c r="AF155" s="8"/>
    </row>
    <row r="156" spans="1:32" ht="30" hidden="1">
      <c r="A156" s="8">
        <v>153</v>
      </c>
      <c r="B156" s="55"/>
      <c r="C156" s="8" t="s">
        <v>191</v>
      </c>
      <c r="D156" s="8" t="s">
        <v>41</v>
      </c>
      <c r="E156" s="8" t="s">
        <v>42</v>
      </c>
      <c r="F156" s="8"/>
      <c r="G156" s="11">
        <v>45034</v>
      </c>
      <c r="H156" s="6" t="s">
        <v>190</v>
      </c>
      <c r="I156" s="4"/>
      <c r="J156" s="9"/>
      <c r="K156" s="15"/>
      <c r="L156" s="16" t="s">
        <v>46</v>
      </c>
      <c r="M156" s="17"/>
      <c r="N156" s="8"/>
      <c r="O156" s="8" t="s">
        <v>47</v>
      </c>
      <c r="P156" s="17"/>
      <c r="Q156" s="8"/>
      <c r="R156" s="17"/>
      <c r="S156" s="8"/>
      <c r="T156" s="17"/>
      <c r="U156" s="8"/>
      <c r="V156" s="8"/>
      <c r="W156" s="17">
        <v>45073</v>
      </c>
      <c r="X156" s="8"/>
      <c r="Y156" s="21"/>
      <c r="Z156" s="17">
        <v>45077</v>
      </c>
      <c r="AA156" s="8"/>
      <c r="AB156" s="21"/>
      <c r="AC156" s="8"/>
      <c r="AD156" s="8"/>
      <c r="AE156" s="8"/>
      <c r="AF156" s="8"/>
    </row>
    <row r="157" spans="1:32" ht="30" hidden="1">
      <c r="A157" s="4">
        <v>154</v>
      </c>
      <c r="B157" s="55"/>
      <c r="C157" s="8" t="s">
        <v>192</v>
      </c>
      <c r="D157" s="8" t="s">
        <v>41</v>
      </c>
      <c r="E157" s="8" t="s">
        <v>42</v>
      </c>
      <c r="F157" s="8"/>
      <c r="G157" s="11">
        <v>45034</v>
      </c>
      <c r="H157" s="6" t="s">
        <v>190</v>
      </c>
      <c r="I157" s="4"/>
      <c r="J157" s="9"/>
      <c r="K157" s="15"/>
      <c r="L157" s="16" t="s">
        <v>46</v>
      </c>
      <c r="M157" s="17"/>
      <c r="N157" s="8"/>
      <c r="O157" s="8" t="s">
        <v>47</v>
      </c>
      <c r="P157" s="17"/>
      <c r="Q157" s="8"/>
      <c r="R157" s="17"/>
      <c r="S157" s="8"/>
      <c r="T157" s="17"/>
      <c r="U157" s="8"/>
      <c r="V157" s="8"/>
      <c r="W157" s="17">
        <v>45073</v>
      </c>
      <c r="X157" s="8"/>
      <c r="Y157" s="21"/>
      <c r="Z157" s="17">
        <v>45077</v>
      </c>
      <c r="AA157" s="8"/>
      <c r="AB157" s="21"/>
      <c r="AC157" s="8"/>
      <c r="AD157" s="8"/>
      <c r="AE157" s="8"/>
      <c r="AF157" s="8"/>
    </row>
    <row r="158" spans="1:32" ht="30" hidden="1">
      <c r="A158" s="8">
        <v>155</v>
      </c>
      <c r="B158" s="55"/>
      <c r="C158" s="8" t="s">
        <v>193</v>
      </c>
      <c r="D158" s="8" t="s">
        <v>41</v>
      </c>
      <c r="E158" s="8" t="s">
        <v>42</v>
      </c>
      <c r="F158" s="8"/>
      <c r="G158" s="11">
        <v>45034</v>
      </c>
      <c r="H158" s="6" t="s">
        <v>190</v>
      </c>
      <c r="I158" s="4"/>
      <c r="J158" s="9"/>
      <c r="K158" s="15"/>
      <c r="L158" s="16" t="s">
        <v>46</v>
      </c>
      <c r="M158" s="17"/>
      <c r="N158" s="8"/>
      <c r="O158" s="8" t="s">
        <v>47</v>
      </c>
      <c r="P158" s="17"/>
      <c r="Q158" s="8"/>
      <c r="R158" s="17"/>
      <c r="S158" s="8"/>
      <c r="T158" s="17"/>
      <c r="U158" s="8"/>
      <c r="V158" s="8"/>
      <c r="W158" s="17">
        <v>45073</v>
      </c>
      <c r="X158" s="8"/>
      <c r="Y158" s="21"/>
      <c r="Z158" s="17">
        <v>45077</v>
      </c>
      <c r="AA158" s="8"/>
      <c r="AB158" s="21"/>
      <c r="AC158" s="8"/>
      <c r="AD158" s="8"/>
      <c r="AE158" s="8"/>
      <c r="AF158" s="8"/>
    </row>
    <row r="159" spans="1:32" ht="30" hidden="1">
      <c r="A159" s="4">
        <v>156</v>
      </c>
      <c r="B159" s="55"/>
      <c r="C159" s="8" t="s">
        <v>194</v>
      </c>
      <c r="D159" s="8" t="s">
        <v>41</v>
      </c>
      <c r="E159" s="8" t="s">
        <v>42</v>
      </c>
      <c r="F159" s="8"/>
      <c r="G159" s="11">
        <v>45034</v>
      </c>
      <c r="H159" s="6" t="s">
        <v>190</v>
      </c>
      <c r="I159" s="4"/>
      <c r="J159" s="9"/>
      <c r="K159" s="15"/>
      <c r="L159" s="16" t="s">
        <v>46</v>
      </c>
      <c r="M159" s="17"/>
      <c r="N159" s="8"/>
      <c r="O159" s="8" t="s">
        <v>47</v>
      </c>
      <c r="P159" s="17"/>
      <c r="Q159" s="8"/>
      <c r="R159" s="17"/>
      <c r="S159" s="8"/>
      <c r="T159" s="17"/>
      <c r="U159" s="8"/>
      <c r="V159" s="8"/>
      <c r="W159" s="17">
        <v>45073</v>
      </c>
      <c r="X159" s="8"/>
      <c r="Y159" s="21"/>
      <c r="Z159" s="17">
        <v>45077</v>
      </c>
      <c r="AA159" s="8"/>
      <c r="AB159" s="21"/>
      <c r="AC159" s="8"/>
      <c r="AD159" s="8"/>
      <c r="AE159" s="8"/>
      <c r="AF159" s="8"/>
    </row>
    <row r="160" spans="1:32" ht="30" hidden="1">
      <c r="A160" s="8">
        <v>157</v>
      </c>
      <c r="B160" s="55" t="s">
        <v>207</v>
      </c>
      <c r="C160" s="8" t="s">
        <v>189</v>
      </c>
      <c r="D160" s="8" t="s">
        <v>41</v>
      </c>
      <c r="E160" s="8" t="s">
        <v>42</v>
      </c>
      <c r="F160" s="8"/>
      <c r="G160" s="11">
        <v>45034</v>
      </c>
      <c r="H160" s="6" t="s">
        <v>190</v>
      </c>
      <c r="I160" s="4"/>
      <c r="J160" s="9"/>
      <c r="K160" s="15"/>
      <c r="L160" s="16" t="s">
        <v>46</v>
      </c>
      <c r="M160" s="17"/>
      <c r="N160" s="8"/>
      <c r="O160" s="8" t="s">
        <v>47</v>
      </c>
      <c r="P160" s="17"/>
      <c r="Q160" s="8"/>
      <c r="R160" s="17"/>
      <c r="S160" s="8"/>
      <c r="T160" s="17"/>
      <c r="U160" s="8"/>
      <c r="V160" s="8"/>
      <c r="W160" s="17">
        <v>45073</v>
      </c>
      <c r="X160" s="8"/>
      <c r="Y160" s="21"/>
      <c r="Z160" s="17">
        <v>45077</v>
      </c>
      <c r="AA160" s="8"/>
      <c r="AB160" s="21"/>
      <c r="AC160" s="8"/>
      <c r="AD160" s="8"/>
      <c r="AE160" s="8"/>
      <c r="AF160" s="8"/>
    </row>
    <row r="161" spans="1:32" ht="30" hidden="1">
      <c r="A161" s="4">
        <v>158</v>
      </c>
      <c r="B161" s="55"/>
      <c r="C161" s="8" t="s">
        <v>191</v>
      </c>
      <c r="D161" s="8" t="s">
        <v>41</v>
      </c>
      <c r="E161" s="8" t="s">
        <v>42</v>
      </c>
      <c r="F161" s="8"/>
      <c r="G161" s="11">
        <v>45034</v>
      </c>
      <c r="H161" s="6" t="s">
        <v>190</v>
      </c>
      <c r="I161" s="4"/>
      <c r="J161" s="9"/>
      <c r="K161" s="15"/>
      <c r="L161" s="16" t="s">
        <v>46</v>
      </c>
      <c r="M161" s="17"/>
      <c r="N161" s="8"/>
      <c r="O161" s="8" t="s">
        <v>47</v>
      </c>
      <c r="P161" s="17"/>
      <c r="Q161" s="8"/>
      <c r="R161" s="17"/>
      <c r="S161" s="8"/>
      <c r="T161" s="17"/>
      <c r="U161" s="8"/>
      <c r="V161" s="8"/>
      <c r="W161" s="17">
        <v>45073</v>
      </c>
      <c r="X161" s="8"/>
      <c r="Y161" s="21"/>
      <c r="Z161" s="17">
        <v>45077</v>
      </c>
      <c r="AA161" s="8"/>
      <c r="AB161" s="21"/>
      <c r="AC161" s="8"/>
      <c r="AD161" s="8"/>
      <c r="AE161" s="8"/>
      <c r="AF161" s="8"/>
    </row>
    <row r="162" spans="1:32" ht="30" hidden="1">
      <c r="A162" s="8">
        <v>159</v>
      </c>
      <c r="B162" s="55"/>
      <c r="C162" s="8" t="s">
        <v>192</v>
      </c>
      <c r="D162" s="8" t="s">
        <v>41</v>
      </c>
      <c r="E162" s="8" t="s">
        <v>42</v>
      </c>
      <c r="F162" s="8"/>
      <c r="G162" s="11">
        <v>45034</v>
      </c>
      <c r="H162" s="6" t="s">
        <v>190</v>
      </c>
      <c r="I162" s="4"/>
      <c r="J162" s="9"/>
      <c r="K162" s="15"/>
      <c r="L162" s="16" t="s">
        <v>46</v>
      </c>
      <c r="M162" s="17"/>
      <c r="N162" s="8"/>
      <c r="O162" s="8" t="s">
        <v>47</v>
      </c>
      <c r="P162" s="17"/>
      <c r="Q162" s="8"/>
      <c r="R162" s="17"/>
      <c r="S162" s="8"/>
      <c r="T162" s="17"/>
      <c r="U162" s="8"/>
      <c r="V162" s="8"/>
      <c r="W162" s="17">
        <v>45073</v>
      </c>
      <c r="X162" s="8"/>
      <c r="Y162" s="21"/>
      <c r="Z162" s="17">
        <v>45077</v>
      </c>
      <c r="AA162" s="8"/>
      <c r="AB162" s="21"/>
      <c r="AC162" s="8"/>
      <c r="AD162" s="8"/>
      <c r="AE162" s="8"/>
      <c r="AF162" s="8"/>
    </row>
    <row r="163" spans="1:32" ht="30" hidden="1">
      <c r="A163" s="4">
        <v>160</v>
      </c>
      <c r="B163" s="55"/>
      <c r="C163" s="8" t="s">
        <v>193</v>
      </c>
      <c r="D163" s="8" t="s">
        <v>41</v>
      </c>
      <c r="E163" s="8" t="s">
        <v>42</v>
      </c>
      <c r="F163" s="8"/>
      <c r="G163" s="11">
        <v>45034</v>
      </c>
      <c r="H163" s="6" t="s">
        <v>190</v>
      </c>
      <c r="I163" s="4"/>
      <c r="J163" s="9"/>
      <c r="K163" s="15"/>
      <c r="L163" s="16" t="s">
        <v>46</v>
      </c>
      <c r="M163" s="17"/>
      <c r="N163" s="8"/>
      <c r="O163" s="8" t="s">
        <v>47</v>
      </c>
      <c r="P163" s="17"/>
      <c r="Q163" s="8"/>
      <c r="R163" s="17"/>
      <c r="S163" s="8"/>
      <c r="T163" s="17"/>
      <c r="U163" s="8"/>
      <c r="V163" s="8"/>
      <c r="W163" s="17">
        <v>45073</v>
      </c>
      <c r="X163" s="8"/>
      <c r="Y163" s="21"/>
      <c r="Z163" s="17">
        <v>45077</v>
      </c>
      <c r="AA163" s="8"/>
      <c r="AB163" s="21"/>
      <c r="AC163" s="8"/>
      <c r="AD163" s="8"/>
      <c r="AE163" s="8"/>
      <c r="AF163" s="8"/>
    </row>
    <row r="164" spans="1:32" ht="30" hidden="1">
      <c r="A164" s="8">
        <v>161</v>
      </c>
      <c r="B164" s="55"/>
      <c r="C164" s="8" t="s">
        <v>194</v>
      </c>
      <c r="D164" s="8" t="s">
        <v>41</v>
      </c>
      <c r="E164" s="8" t="s">
        <v>42</v>
      </c>
      <c r="F164" s="8"/>
      <c r="G164" s="11">
        <v>45034</v>
      </c>
      <c r="H164" s="6" t="s">
        <v>190</v>
      </c>
      <c r="I164" s="4"/>
      <c r="J164" s="9"/>
      <c r="K164" s="15"/>
      <c r="L164" s="16" t="s">
        <v>46</v>
      </c>
      <c r="M164" s="17"/>
      <c r="N164" s="8"/>
      <c r="O164" s="8" t="s">
        <v>47</v>
      </c>
      <c r="P164" s="17"/>
      <c r="Q164" s="8"/>
      <c r="R164" s="17"/>
      <c r="S164" s="8"/>
      <c r="T164" s="17"/>
      <c r="U164" s="8"/>
      <c r="V164" s="8"/>
      <c r="W164" s="17">
        <v>45073</v>
      </c>
      <c r="X164" s="8"/>
      <c r="Y164" s="21"/>
      <c r="Z164" s="17">
        <v>45077</v>
      </c>
      <c r="AA164" s="8"/>
      <c r="AB164" s="21"/>
      <c r="AC164" s="8"/>
      <c r="AD164" s="8"/>
      <c r="AE164" s="8"/>
      <c r="AF164" s="8"/>
    </row>
    <row r="165" spans="1:32" ht="30" hidden="1">
      <c r="A165" s="4">
        <v>162</v>
      </c>
      <c r="B165" s="55" t="s">
        <v>208</v>
      </c>
      <c r="C165" s="8" t="s">
        <v>189</v>
      </c>
      <c r="D165" s="8" t="s">
        <v>41</v>
      </c>
      <c r="E165" s="8" t="s">
        <v>42</v>
      </c>
      <c r="F165" s="8"/>
      <c r="G165" s="11">
        <v>45034</v>
      </c>
      <c r="H165" s="6" t="s">
        <v>190</v>
      </c>
      <c r="I165" s="4"/>
      <c r="J165" s="9"/>
      <c r="K165" s="15"/>
      <c r="L165" s="16" t="s">
        <v>46</v>
      </c>
      <c r="M165" s="17"/>
      <c r="N165" s="8"/>
      <c r="O165" s="8" t="s">
        <v>47</v>
      </c>
      <c r="P165" s="17"/>
      <c r="Q165" s="8"/>
      <c r="R165" s="17"/>
      <c r="S165" s="8"/>
      <c r="T165" s="17"/>
      <c r="U165" s="8"/>
      <c r="V165" s="8"/>
      <c r="W165" s="17">
        <v>45073</v>
      </c>
      <c r="X165" s="8"/>
      <c r="Y165" s="21"/>
      <c r="Z165" s="17">
        <v>45077</v>
      </c>
      <c r="AA165" s="8"/>
      <c r="AB165" s="21"/>
      <c r="AC165" s="8"/>
      <c r="AD165" s="8"/>
      <c r="AE165" s="8"/>
      <c r="AF165" s="8"/>
    </row>
    <row r="166" spans="1:32" ht="30" hidden="1">
      <c r="A166" s="8">
        <v>163</v>
      </c>
      <c r="B166" s="55"/>
      <c r="C166" s="8" t="s">
        <v>191</v>
      </c>
      <c r="D166" s="8" t="s">
        <v>41</v>
      </c>
      <c r="E166" s="8" t="s">
        <v>42</v>
      </c>
      <c r="F166" s="8"/>
      <c r="G166" s="11">
        <v>45034</v>
      </c>
      <c r="H166" s="6" t="s">
        <v>190</v>
      </c>
      <c r="I166" s="4"/>
      <c r="J166" s="9"/>
      <c r="K166" s="15"/>
      <c r="L166" s="16" t="s">
        <v>46</v>
      </c>
      <c r="M166" s="17"/>
      <c r="N166" s="8"/>
      <c r="O166" s="8" t="s">
        <v>47</v>
      </c>
      <c r="P166" s="17"/>
      <c r="Q166" s="8"/>
      <c r="R166" s="17"/>
      <c r="S166" s="8"/>
      <c r="T166" s="17"/>
      <c r="U166" s="8"/>
      <c r="V166" s="8"/>
      <c r="W166" s="17">
        <v>45073</v>
      </c>
      <c r="X166" s="8"/>
      <c r="Y166" s="21"/>
      <c r="Z166" s="17">
        <v>45077</v>
      </c>
      <c r="AA166" s="8"/>
      <c r="AB166" s="21"/>
      <c r="AC166" s="8"/>
      <c r="AD166" s="8"/>
      <c r="AE166" s="8"/>
      <c r="AF166" s="8"/>
    </row>
    <row r="167" spans="1:32" ht="30" hidden="1">
      <c r="A167" s="4">
        <v>164</v>
      </c>
      <c r="B167" s="55"/>
      <c r="C167" s="8" t="s">
        <v>192</v>
      </c>
      <c r="D167" s="8" t="s">
        <v>41</v>
      </c>
      <c r="E167" s="8" t="s">
        <v>42</v>
      </c>
      <c r="F167" s="8"/>
      <c r="G167" s="11">
        <v>45034</v>
      </c>
      <c r="H167" s="6" t="s">
        <v>190</v>
      </c>
      <c r="I167" s="4"/>
      <c r="J167" s="9"/>
      <c r="K167" s="15"/>
      <c r="L167" s="16" t="s">
        <v>46</v>
      </c>
      <c r="M167" s="17"/>
      <c r="N167" s="8"/>
      <c r="O167" s="8" t="s">
        <v>47</v>
      </c>
      <c r="P167" s="17"/>
      <c r="Q167" s="8"/>
      <c r="R167" s="17"/>
      <c r="S167" s="8"/>
      <c r="T167" s="17"/>
      <c r="U167" s="8"/>
      <c r="V167" s="8"/>
      <c r="W167" s="17">
        <v>45073</v>
      </c>
      <c r="X167" s="8"/>
      <c r="Y167" s="21"/>
      <c r="Z167" s="17">
        <v>45077</v>
      </c>
      <c r="AA167" s="8"/>
      <c r="AB167" s="21"/>
      <c r="AC167" s="8"/>
      <c r="AD167" s="8"/>
      <c r="AE167" s="8"/>
      <c r="AF167" s="8"/>
    </row>
    <row r="168" spans="1:32" ht="30" hidden="1">
      <c r="A168" s="8">
        <v>165</v>
      </c>
      <c r="B168" s="55"/>
      <c r="C168" s="8" t="s">
        <v>193</v>
      </c>
      <c r="D168" s="8" t="s">
        <v>41</v>
      </c>
      <c r="E168" s="8" t="s">
        <v>42</v>
      </c>
      <c r="F168" s="8"/>
      <c r="G168" s="11">
        <v>45034</v>
      </c>
      <c r="H168" s="6" t="s">
        <v>190</v>
      </c>
      <c r="I168" s="4"/>
      <c r="J168" s="9"/>
      <c r="K168" s="15"/>
      <c r="L168" s="16" t="s">
        <v>46</v>
      </c>
      <c r="M168" s="17"/>
      <c r="N168" s="8"/>
      <c r="O168" s="8" t="s">
        <v>47</v>
      </c>
      <c r="P168" s="17"/>
      <c r="Q168" s="8"/>
      <c r="R168" s="17"/>
      <c r="S168" s="8"/>
      <c r="T168" s="17"/>
      <c r="U168" s="8"/>
      <c r="V168" s="8"/>
      <c r="W168" s="17">
        <v>45073</v>
      </c>
      <c r="X168" s="8"/>
      <c r="Y168" s="21"/>
      <c r="Z168" s="17">
        <v>45077</v>
      </c>
      <c r="AA168" s="8"/>
      <c r="AB168" s="21"/>
      <c r="AC168" s="8"/>
      <c r="AD168" s="8"/>
      <c r="AE168" s="8"/>
      <c r="AF168" s="8"/>
    </row>
    <row r="169" spans="1:32" ht="30" hidden="1">
      <c r="A169" s="4">
        <v>166</v>
      </c>
      <c r="B169" s="55"/>
      <c r="C169" s="8" t="s">
        <v>194</v>
      </c>
      <c r="D169" s="8" t="s">
        <v>41</v>
      </c>
      <c r="E169" s="8" t="s">
        <v>42</v>
      </c>
      <c r="F169" s="8"/>
      <c r="G169" s="11">
        <v>45034</v>
      </c>
      <c r="H169" s="6" t="s">
        <v>190</v>
      </c>
      <c r="I169" s="4"/>
      <c r="J169" s="9"/>
      <c r="K169" s="15"/>
      <c r="L169" s="16" t="s">
        <v>46</v>
      </c>
      <c r="M169" s="17"/>
      <c r="N169" s="8"/>
      <c r="O169" s="8" t="s">
        <v>47</v>
      </c>
      <c r="P169" s="17"/>
      <c r="Q169" s="8"/>
      <c r="R169" s="17"/>
      <c r="S169" s="8"/>
      <c r="T169" s="17"/>
      <c r="U169" s="8"/>
      <c r="V169" s="8"/>
      <c r="W169" s="17">
        <v>45073</v>
      </c>
      <c r="X169" s="8"/>
      <c r="Y169" s="21"/>
      <c r="Z169" s="17">
        <v>45077</v>
      </c>
      <c r="AA169" s="8"/>
      <c r="AB169" s="21"/>
      <c r="AC169" s="8"/>
      <c r="AD169" s="8"/>
      <c r="AE169" s="8"/>
      <c r="AF169" s="8"/>
    </row>
    <row r="170" spans="1:32" ht="30" hidden="1">
      <c r="A170" s="8">
        <v>167</v>
      </c>
      <c r="B170" s="55" t="s">
        <v>209</v>
      </c>
      <c r="C170" s="8" t="s">
        <v>189</v>
      </c>
      <c r="D170" s="8" t="s">
        <v>41</v>
      </c>
      <c r="E170" s="8" t="s">
        <v>42</v>
      </c>
      <c r="F170" s="8"/>
      <c r="G170" s="11">
        <v>45034</v>
      </c>
      <c r="H170" s="6" t="s">
        <v>190</v>
      </c>
      <c r="I170" s="4"/>
      <c r="J170" s="9"/>
      <c r="K170" s="15"/>
      <c r="L170" s="16" t="s">
        <v>46</v>
      </c>
      <c r="M170" s="17"/>
      <c r="N170" s="8"/>
      <c r="O170" s="8" t="s">
        <v>47</v>
      </c>
      <c r="P170" s="17"/>
      <c r="Q170" s="8"/>
      <c r="R170" s="17"/>
      <c r="S170" s="8"/>
      <c r="T170" s="17"/>
      <c r="U170" s="8"/>
      <c r="V170" s="8"/>
      <c r="W170" s="17">
        <v>45073</v>
      </c>
      <c r="X170" s="8"/>
      <c r="Y170" s="21"/>
      <c r="Z170" s="17">
        <v>45077</v>
      </c>
      <c r="AA170" s="8"/>
      <c r="AB170" s="21"/>
      <c r="AC170" s="8"/>
      <c r="AD170" s="8"/>
      <c r="AE170" s="8"/>
      <c r="AF170" s="8"/>
    </row>
    <row r="171" spans="1:32" ht="30" hidden="1">
      <c r="A171" s="4">
        <v>168</v>
      </c>
      <c r="B171" s="55"/>
      <c r="C171" s="8" t="s">
        <v>191</v>
      </c>
      <c r="D171" s="8" t="s">
        <v>41</v>
      </c>
      <c r="E171" s="8" t="s">
        <v>42</v>
      </c>
      <c r="F171" s="8"/>
      <c r="G171" s="11">
        <v>45034</v>
      </c>
      <c r="H171" s="6" t="s">
        <v>190</v>
      </c>
      <c r="I171" s="4"/>
      <c r="J171" s="9"/>
      <c r="K171" s="15"/>
      <c r="L171" s="16" t="s">
        <v>46</v>
      </c>
      <c r="M171" s="17"/>
      <c r="N171" s="8"/>
      <c r="O171" s="8" t="s">
        <v>47</v>
      </c>
      <c r="P171" s="17"/>
      <c r="Q171" s="8"/>
      <c r="R171" s="17"/>
      <c r="S171" s="8"/>
      <c r="T171" s="17"/>
      <c r="U171" s="8"/>
      <c r="V171" s="8"/>
      <c r="W171" s="17">
        <v>45073</v>
      </c>
      <c r="X171" s="8"/>
      <c r="Y171" s="21"/>
      <c r="Z171" s="17">
        <v>45077</v>
      </c>
      <c r="AA171" s="8"/>
      <c r="AB171" s="21"/>
      <c r="AC171" s="8"/>
      <c r="AD171" s="8"/>
      <c r="AE171" s="8"/>
      <c r="AF171" s="8"/>
    </row>
    <row r="172" spans="1:32" ht="30" hidden="1">
      <c r="A172" s="8">
        <v>169</v>
      </c>
      <c r="B172" s="55"/>
      <c r="C172" s="8" t="s">
        <v>192</v>
      </c>
      <c r="D172" s="8" t="s">
        <v>41</v>
      </c>
      <c r="E172" s="8" t="s">
        <v>42</v>
      </c>
      <c r="F172" s="8"/>
      <c r="G172" s="11">
        <v>45034</v>
      </c>
      <c r="H172" s="6" t="s">
        <v>190</v>
      </c>
      <c r="I172" s="4"/>
      <c r="J172" s="9"/>
      <c r="K172" s="15"/>
      <c r="L172" s="16" t="s">
        <v>46</v>
      </c>
      <c r="M172" s="17"/>
      <c r="N172" s="8"/>
      <c r="O172" s="8" t="s">
        <v>47</v>
      </c>
      <c r="P172" s="17"/>
      <c r="Q172" s="8"/>
      <c r="R172" s="17"/>
      <c r="S172" s="8"/>
      <c r="T172" s="17"/>
      <c r="U172" s="8"/>
      <c r="V172" s="8"/>
      <c r="W172" s="17">
        <v>45073</v>
      </c>
      <c r="X172" s="8"/>
      <c r="Y172" s="21"/>
      <c r="Z172" s="17">
        <v>45077</v>
      </c>
      <c r="AA172" s="8"/>
      <c r="AB172" s="21"/>
      <c r="AC172" s="8"/>
      <c r="AD172" s="8"/>
      <c r="AE172" s="8"/>
      <c r="AF172" s="8"/>
    </row>
    <row r="173" spans="1:32" ht="30" hidden="1">
      <c r="A173" s="4">
        <v>170</v>
      </c>
      <c r="B173" s="55"/>
      <c r="C173" s="8" t="s">
        <v>193</v>
      </c>
      <c r="D173" s="8" t="s">
        <v>41</v>
      </c>
      <c r="E173" s="8" t="s">
        <v>42</v>
      </c>
      <c r="F173" s="8"/>
      <c r="G173" s="11">
        <v>45034</v>
      </c>
      <c r="H173" s="6" t="s">
        <v>190</v>
      </c>
      <c r="I173" s="4"/>
      <c r="J173" s="9"/>
      <c r="K173" s="15"/>
      <c r="L173" s="16" t="s">
        <v>46</v>
      </c>
      <c r="M173" s="17"/>
      <c r="N173" s="8"/>
      <c r="O173" s="8" t="s">
        <v>47</v>
      </c>
      <c r="P173" s="17"/>
      <c r="Q173" s="8"/>
      <c r="R173" s="17"/>
      <c r="S173" s="8"/>
      <c r="T173" s="17"/>
      <c r="U173" s="8"/>
      <c r="V173" s="8"/>
      <c r="W173" s="17">
        <v>45073</v>
      </c>
      <c r="X173" s="8"/>
      <c r="Y173" s="21"/>
      <c r="Z173" s="17">
        <v>45077</v>
      </c>
      <c r="AA173" s="8"/>
      <c r="AB173" s="21"/>
      <c r="AC173" s="8"/>
      <c r="AD173" s="8"/>
      <c r="AE173" s="8"/>
      <c r="AF173" s="8"/>
    </row>
    <row r="174" spans="1:32" ht="30" hidden="1">
      <c r="A174" s="8">
        <v>171</v>
      </c>
      <c r="B174" s="55"/>
      <c r="C174" s="8" t="s">
        <v>194</v>
      </c>
      <c r="D174" s="8" t="s">
        <v>41</v>
      </c>
      <c r="E174" s="8" t="s">
        <v>42</v>
      </c>
      <c r="F174" s="8"/>
      <c r="G174" s="11">
        <v>45034</v>
      </c>
      <c r="H174" s="6" t="s">
        <v>190</v>
      </c>
      <c r="I174" s="4"/>
      <c r="J174" s="9"/>
      <c r="K174" s="15"/>
      <c r="L174" s="16" t="s">
        <v>46</v>
      </c>
      <c r="M174" s="17"/>
      <c r="N174" s="8"/>
      <c r="O174" s="8" t="s">
        <v>47</v>
      </c>
      <c r="P174" s="17"/>
      <c r="Q174" s="8"/>
      <c r="R174" s="17"/>
      <c r="S174" s="8"/>
      <c r="T174" s="17"/>
      <c r="U174" s="8"/>
      <c r="V174" s="8"/>
      <c r="W174" s="17">
        <v>45073</v>
      </c>
      <c r="X174" s="8"/>
      <c r="Y174" s="21"/>
      <c r="Z174" s="17">
        <v>45077</v>
      </c>
      <c r="AA174" s="8"/>
      <c r="AB174" s="21"/>
      <c r="AC174" s="8"/>
      <c r="AD174" s="8"/>
      <c r="AE174" s="8"/>
      <c r="AF174" s="8"/>
    </row>
    <row r="175" spans="1:32" ht="30" hidden="1">
      <c r="A175" s="4">
        <v>172</v>
      </c>
      <c r="B175" s="55" t="s">
        <v>210</v>
      </c>
      <c r="C175" s="8" t="s">
        <v>211</v>
      </c>
      <c r="D175" s="8" t="s">
        <v>41</v>
      </c>
      <c r="E175" s="8" t="s">
        <v>42</v>
      </c>
      <c r="F175" s="8"/>
      <c r="G175" s="11">
        <v>45034</v>
      </c>
      <c r="H175" s="6" t="s">
        <v>190</v>
      </c>
      <c r="I175" s="4"/>
      <c r="J175" s="9"/>
      <c r="K175" s="15"/>
      <c r="L175" s="16" t="s">
        <v>46</v>
      </c>
      <c r="M175" s="17"/>
      <c r="N175" s="8"/>
      <c r="O175" s="8" t="s">
        <v>47</v>
      </c>
      <c r="P175" s="17"/>
      <c r="Q175" s="8"/>
      <c r="R175" s="17"/>
      <c r="S175" s="8"/>
      <c r="T175" s="17"/>
      <c r="U175" s="8"/>
      <c r="V175" s="8"/>
      <c r="W175" s="17">
        <v>45073</v>
      </c>
      <c r="X175" s="8"/>
      <c r="Y175" s="21"/>
      <c r="Z175" s="17">
        <v>45077</v>
      </c>
      <c r="AA175" s="8"/>
      <c r="AB175" s="21"/>
      <c r="AC175" s="8"/>
      <c r="AD175" s="8"/>
      <c r="AE175" s="8"/>
      <c r="AF175" s="8"/>
    </row>
    <row r="176" spans="1:32" ht="30" hidden="1">
      <c r="A176" s="8">
        <v>173</v>
      </c>
      <c r="B176" s="55"/>
      <c r="C176" s="8" t="s">
        <v>212</v>
      </c>
      <c r="D176" s="8" t="s">
        <v>41</v>
      </c>
      <c r="E176" s="8" t="s">
        <v>42</v>
      </c>
      <c r="F176" s="8"/>
      <c r="G176" s="11">
        <v>45034</v>
      </c>
      <c r="H176" s="6" t="s">
        <v>190</v>
      </c>
      <c r="I176" s="4"/>
      <c r="J176" s="9"/>
      <c r="K176" s="15"/>
      <c r="L176" s="16" t="s">
        <v>46</v>
      </c>
      <c r="M176" s="17"/>
      <c r="N176" s="8"/>
      <c r="O176" s="8" t="s">
        <v>47</v>
      </c>
      <c r="P176" s="17"/>
      <c r="Q176" s="8"/>
      <c r="R176" s="17"/>
      <c r="S176" s="8"/>
      <c r="T176" s="17"/>
      <c r="U176" s="8"/>
      <c r="V176" s="8"/>
      <c r="W176" s="17">
        <v>45073</v>
      </c>
      <c r="X176" s="8"/>
      <c r="Y176" s="21"/>
      <c r="Z176" s="17">
        <v>45077</v>
      </c>
      <c r="AA176" s="8"/>
      <c r="AB176" s="21"/>
      <c r="AC176" s="8"/>
      <c r="AD176" s="8"/>
      <c r="AE176" s="8"/>
      <c r="AF176" s="8"/>
    </row>
    <row r="177" spans="1:32" ht="30" hidden="1">
      <c r="A177" s="4">
        <v>174</v>
      </c>
      <c r="B177" s="55"/>
      <c r="C177" s="8" t="s">
        <v>192</v>
      </c>
      <c r="D177" s="8" t="s">
        <v>41</v>
      </c>
      <c r="E177" s="8" t="s">
        <v>42</v>
      </c>
      <c r="F177" s="8"/>
      <c r="G177" s="11">
        <v>45034</v>
      </c>
      <c r="H177" s="6" t="s">
        <v>190</v>
      </c>
      <c r="I177" s="4"/>
      <c r="J177" s="9"/>
      <c r="K177" s="15"/>
      <c r="L177" s="16" t="s">
        <v>46</v>
      </c>
      <c r="M177" s="17"/>
      <c r="N177" s="8"/>
      <c r="O177" s="8" t="s">
        <v>47</v>
      </c>
      <c r="P177" s="17"/>
      <c r="Q177" s="8"/>
      <c r="R177" s="17"/>
      <c r="S177" s="8"/>
      <c r="T177" s="17"/>
      <c r="U177" s="8"/>
      <c r="V177" s="8"/>
      <c r="W177" s="17">
        <v>45073</v>
      </c>
      <c r="X177" s="8"/>
      <c r="Y177" s="21"/>
      <c r="Z177" s="17">
        <v>45077</v>
      </c>
      <c r="AA177" s="8"/>
      <c r="AB177" s="21"/>
      <c r="AC177" s="8"/>
      <c r="AD177" s="8"/>
      <c r="AE177" s="8"/>
      <c r="AF177" s="8"/>
    </row>
    <row r="178" spans="1:32" ht="30" hidden="1">
      <c r="A178" s="8">
        <v>175</v>
      </c>
      <c r="B178" s="55"/>
      <c r="C178" s="8" t="s">
        <v>213</v>
      </c>
      <c r="D178" s="8" t="s">
        <v>41</v>
      </c>
      <c r="E178" s="8" t="s">
        <v>42</v>
      </c>
      <c r="F178" s="8"/>
      <c r="G178" s="11">
        <v>45034</v>
      </c>
      <c r="H178" s="6" t="s">
        <v>190</v>
      </c>
      <c r="I178" s="4"/>
      <c r="J178" s="9"/>
      <c r="K178" s="15"/>
      <c r="L178" s="16" t="s">
        <v>46</v>
      </c>
      <c r="M178" s="17"/>
      <c r="N178" s="8"/>
      <c r="O178" s="8" t="s">
        <v>47</v>
      </c>
      <c r="P178" s="17"/>
      <c r="Q178" s="8"/>
      <c r="R178" s="17"/>
      <c r="S178" s="8"/>
      <c r="T178" s="17"/>
      <c r="U178" s="8"/>
      <c r="V178" s="8"/>
      <c r="W178" s="17">
        <v>45073</v>
      </c>
      <c r="X178" s="8"/>
      <c r="Y178" s="21"/>
      <c r="Z178" s="17">
        <v>45077</v>
      </c>
      <c r="AA178" s="8"/>
      <c r="AB178" s="21"/>
      <c r="AC178" s="8"/>
      <c r="AD178" s="8"/>
      <c r="AE178" s="8"/>
      <c r="AF178" s="8"/>
    </row>
    <row r="179" spans="1:32" ht="30" hidden="1">
      <c r="A179" s="4">
        <v>176</v>
      </c>
      <c r="B179" s="55"/>
      <c r="C179" s="8" t="s">
        <v>214</v>
      </c>
      <c r="D179" s="8" t="s">
        <v>41</v>
      </c>
      <c r="E179" s="8" t="s">
        <v>42</v>
      </c>
      <c r="F179" s="8"/>
      <c r="G179" s="11">
        <v>45034</v>
      </c>
      <c r="H179" s="6" t="s">
        <v>190</v>
      </c>
      <c r="I179" s="4"/>
      <c r="J179" s="9"/>
      <c r="K179" s="15"/>
      <c r="L179" s="16" t="s">
        <v>46</v>
      </c>
      <c r="M179" s="17"/>
      <c r="N179" s="8"/>
      <c r="O179" s="8" t="s">
        <v>47</v>
      </c>
      <c r="P179" s="17"/>
      <c r="Q179" s="8"/>
      <c r="R179" s="17"/>
      <c r="S179" s="8"/>
      <c r="T179" s="17"/>
      <c r="U179" s="8"/>
      <c r="V179" s="8"/>
      <c r="W179" s="17">
        <v>45073</v>
      </c>
      <c r="X179" s="8"/>
      <c r="Y179" s="21"/>
      <c r="Z179" s="17">
        <v>45077</v>
      </c>
      <c r="AA179" s="8"/>
      <c r="AB179" s="21"/>
      <c r="AC179" s="8"/>
      <c r="AD179" s="8"/>
      <c r="AE179" s="8"/>
      <c r="AF179" s="8"/>
    </row>
    <row r="180" spans="1:32" ht="30" hidden="1">
      <c r="A180" s="8">
        <v>177</v>
      </c>
      <c r="B180" s="55" t="s">
        <v>215</v>
      </c>
      <c r="C180" s="8" t="s">
        <v>192</v>
      </c>
      <c r="D180" s="8" t="s">
        <v>41</v>
      </c>
      <c r="E180" s="8" t="s">
        <v>42</v>
      </c>
      <c r="F180" s="8"/>
      <c r="G180" s="11">
        <v>45034</v>
      </c>
      <c r="H180" s="6" t="s">
        <v>190</v>
      </c>
      <c r="I180" s="4"/>
      <c r="J180" s="9"/>
      <c r="K180" s="15"/>
      <c r="L180" s="16" t="s">
        <v>46</v>
      </c>
      <c r="M180" s="17"/>
      <c r="N180" s="8"/>
      <c r="O180" s="8" t="s">
        <v>47</v>
      </c>
      <c r="P180" s="17"/>
      <c r="Q180" s="8"/>
      <c r="R180" s="17"/>
      <c r="S180" s="8"/>
      <c r="T180" s="17"/>
      <c r="U180" s="8"/>
      <c r="V180" s="8"/>
      <c r="W180" s="17">
        <v>45073</v>
      </c>
      <c r="X180" s="8"/>
      <c r="Y180" s="21"/>
      <c r="Z180" s="17">
        <v>45077</v>
      </c>
      <c r="AA180" s="8"/>
      <c r="AB180" s="21"/>
      <c r="AC180" s="8"/>
      <c r="AD180" s="8"/>
      <c r="AE180" s="8"/>
      <c r="AF180" s="8"/>
    </row>
    <row r="181" spans="1:32" ht="30" hidden="1">
      <c r="A181" s="4">
        <v>178</v>
      </c>
      <c r="B181" s="55"/>
      <c r="C181" s="8" t="s">
        <v>216</v>
      </c>
      <c r="D181" s="8" t="s">
        <v>41</v>
      </c>
      <c r="E181" s="8" t="s">
        <v>42</v>
      </c>
      <c r="F181" s="8"/>
      <c r="G181" s="11">
        <v>45034</v>
      </c>
      <c r="H181" s="6" t="s">
        <v>190</v>
      </c>
      <c r="I181" s="4"/>
      <c r="J181" s="9"/>
      <c r="K181" s="15"/>
      <c r="L181" s="16" t="s">
        <v>46</v>
      </c>
      <c r="M181" s="17"/>
      <c r="N181" s="8"/>
      <c r="O181" s="8" t="s">
        <v>47</v>
      </c>
      <c r="P181" s="17"/>
      <c r="Q181" s="8"/>
      <c r="R181" s="17"/>
      <c r="S181" s="8"/>
      <c r="T181" s="17"/>
      <c r="U181" s="8"/>
      <c r="V181" s="8"/>
      <c r="W181" s="17">
        <v>45073</v>
      </c>
      <c r="X181" s="8"/>
      <c r="Y181" s="21"/>
      <c r="Z181" s="17">
        <v>45077</v>
      </c>
      <c r="AA181" s="8"/>
      <c r="AB181" s="21"/>
      <c r="AC181" s="8"/>
      <c r="AD181" s="8"/>
      <c r="AE181" s="8"/>
      <c r="AF181" s="8"/>
    </row>
    <row r="182" spans="1:32" ht="30" hidden="1">
      <c r="A182" s="8">
        <v>179</v>
      </c>
      <c r="B182" s="55"/>
      <c r="C182" s="8" t="s">
        <v>217</v>
      </c>
      <c r="D182" s="8" t="s">
        <v>41</v>
      </c>
      <c r="E182" s="8" t="s">
        <v>42</v>
      </c>
      <c r="F182" s="8"/>
      <c r="G182" s="11">
        <v>45034</v>
      </c>
      <c r="H182" s="6" t="s">
        <v>190</v>
      </c>
      <c r="I182" s="4"/>
      <c r="J182" s="9"/>
      <c r="K182" s="15"/>
      <c r="L182" s="16" t="s">
        <v>46</v>
      </c>
      <c r="M182" s="17"/>
      <c r="N182" s="8"/>
      <c r="O182" s="8" t="s">
        <v>47</v>
      </c>
      <c r="P182" s="17"/>
      <c r="Q182" s="8"/>
      <c r="R182" s="17"/>
      <c r="S182" s="8"/>
      <c r="T182" s="17"/>
      <c r="U182" s="8"/>
      <c r="V182" s="8"/>
      <c r="W182" s="17">
        <v>45073</v>
      </c>
      <c r="X182" s="8"/>
      <c r="Y182" s="21"/>
      <c r="Z182" s="17">
        <v>45077</v>
      </c>
      <c r="AA182" s="8"/>
      <c r="AB182" s="21"/>
      <c r="AC182" s="8"/>
      <c r="AD182" s="8"/>
      <c r="AE182" s="8"/>
      <c r="AF182" s="8"/>
    </row>
    <row r="183" spans="1:32" ht="30" hidden="1">
      <c r="A183" s="4">
        <v>180</v>
      </c>
      <c r="B183" s="55"/>
      <c r="C183" s="8" t="s">
        <v>218</v>
      </c>
      <c r="D183" s="8" t="s">
        <v>41</v>
      </c>
      <c r="E183" s="8" t="s">
        <v>42</v>
      </c>
      <c r="F183" s="8"/>
      <c r="G183" s="11">
        <v>45034</v>
      </c>
      <c r="H183" s="6" t="s">
        <v>190</v>
      </c>
      <c r="I183" s="4"/>
      <c r="J183" s="9"/>
      <c r="K183" s="15"/>
      <c r="L183" s="16" t="s">
        <v>46</v>
      </c>
      <c r="M183" s="17"/>
      <c r="N183" s="8"/>
      <c r="O183" s="8" t="s">
        <v>47</v>
      </c>
      <c r="P183" s="17"/>
      <c r="Q183" s="8"/>
      <c r="R183" s="17"/>
      <c r="S183" s="8"/>
      <c r="T183" s="17"/>
      <c r="U183" s="8"/>
      <c r="V183" s="8"/>
      <c r="W183" s="17">
        <v>45073</v>
      </c>
      <c r="X183" s="8"/>
      <c r="Y183" s="21"/>
      <c r="Z183" s="17">
        <v>45077</v>
      </c>
      <c r="AA183" s="8"/>
      <c r="AB183" s="21"/>
      <c r="AC183" s="8"/>
      <c r="AD183" s="8"/>
      <c r="AE183" s="8"/>
      <c r="AF183" s="8"/>
    </row>
    <row r="184" spans="1:32" ht="30" hidden="1">
      <c r="A184" s="8">
        <v>181</v>
      </c>
      <c r="B184" s="55"/>
      <c r="C184" s="8" t="s">
        <v>214</v>
      </c>
      <c r="D184" s="8" t="s">
        <v>41</v>
      </c>
      <c r="E184" s="8" t="s">
        <v>42</v>
      </c>
      <c r="F184" s="8"/>
      <c r="G184" s="11">
        <v>45034</v>
      </c>
      <c r="H184" s="6" t="s">
        <v>190</v>
      </c>
      <c r="I184" s="4"/>
      <c r="J184" s="9"/>
      <c r="K184" s="15"/>
      <c r="L184" s="16" t="s">
        <v>46</v>
      </c>
      <c r="M184" s="17"/>
      <c r="N184" s="8"/>
      <c r="O184" s="8" t="s">
        <v>47</v>
      </c>
      <c r="P184" s="17"/>
      <c r="Q184" s="8"/>
      <c r="R184" s="17"/>
      <c r="S184" s="8"/>
      <c r="T184" s="17"/>
      <c r="U184" s="8"/>
      <c r="V184" s="8"/>
      <c r="W184" s="17">
        <v>45073</v>
      </c>
      <c r="X184" s="8"/>
      <c r="Y184" s="21"/>
      <c r="Z184" s="17">
        <v>45077</v>
      </c>
      <c r="AA184" s="8"/>
      <c r="AB184" s="21"/>
      <c r="AC184" s="8"/>
      <c r="AD184" s="8"/>
      <c r="AE184" s="8"/>
      <c r="AF184" s="8"/>
    </row>
    <row r="185" spans="1:32" ht="30" hidden="1">
      <c r="A185" s="4">
        <v>182</v>
      </c>
      <c r="B185" s="55" t="s">
        <v>219</v>
      </c>
      <c r="C185" s="8" t="s">
        <v>220</v>
      </c>
      <c r="D185" s="8" t="s">
        <v>41</v>
      </c>
      <c r="E185" s="8" t="s">
        <v>42</v>
      </c>
      <c r="F185" s="8"/>
      <c r="G185" s="11">
        <v>45034</v>
      </c>
      <c r="H185" s="6" t="s">
        <v>190</v>
      </c>
      <c r="I185" s="4"/>
      <c r="J185" s="9"/>
      <c r="K185" s="15"/>
      <c r="L185" s="16" t="s">
        <v>46</v>
      </c>
      <c r="M185" s="17"/>
      <c r="N185" s="8"/>
      <c r="O185" s="8" t="s">
        <v>47</v>
      </c>
      <c r="P185" s="17"/>
      <c r="Q185" s="8"/>
      <c r="R185" s="17"/>
      <c r="S185" s="8"/>
      <c r="T185" s="17"/>
      <c r="U185" s="8"/>
      <c r="V185" s="8"/>
      <c r="W185" s="17">
        <v>45073</v>
      </c>
      <c r="X185" s="8"/>
      <c r="Y185" s="21"/>
      <c r="Z185" s="17">
        <v>45077</v>
      </c>
      <c r="AA185" s="8"/>
      <c r="AB185" s="21"/>
      <c r="AC185" s="8"/>
      <c r="AD185" s="8"/>
      <c r="AE185" s="8"/>
      <c r="AF185" s="8"/>
    </row>
    <row r="186" spans="1:32" ht="30" hidden="1">
      <c r="A186" s="8">
        <v>183</v>
      </c>
      <c r="B186" s="55"/>
      <c r="C186" s="8" t="s">
        <v>221</v>
      </c>
      <c r="D186" s="8" t="s">
        <v>41</v>
      </c>
      <c r="E186" s="8" t="s">
        <v>42</v>
      </c>
      <c r="F186" s="8"/>
      <c r="G186" s="11">
        <v>45034</v>
      </c>
      <c r="H186" s="6" t="s">
        <v>190</v>
      </c>
      <c r="I186" s="4"/>
      <c r="J186" s="9"/>
      <c r="K186" s="15"/>
      <c r="L186" s="16" t="s">
        <v>46</v>
      </c>
      <c r="M186" s="17"/>
      <c r="N186" s="8"/>
      <c r="O186" s="8" t="s">
        <v>47</v>
      </c>
      <c r="P186" s="17"/>
      <c r="Q186" s="8"/>
      <c r="R186" s="17"/>
      <c r="S186" s="8"/>
      <c r="T186" s="17"/>
      <c r="U186" s="8"/>
      <c r="V186" s="8"/>
      <c r="W186" s="17">
        <v>45073</v>
      </c>
      <c r="X186" s="8"/>
      <c r="Y186" s="21"/>
      <c r="Z186" s="17">
        <v>45077</v>
      </c>
      <c r="AA186" s="8"/>
      <c r="AB186" s="21"/>
      <c r="AC186" s="8"/>
      <c r="AD186" s="8"/>
      <c r="AE186" s="8"/>
      <c r="AF186" s="8"/>
    </row>
    <row r="187" spans="1:32" ht="30" hidden="1">
      <c r="A187" s="4">
        <v>184</v>
      </c>
      <c r="B187" s="55"/>
      <c r="C187" s="8" t="s">
        <v>222</v>
      </c>
      <c r="D187" s="8" t="s">
        <v>41</v>
      </c>
      <c r="E187" s="8" t="s">
        <v>42</v>
      </c>
      <c r="F187" s="8"/>
      <c r="G187" s="11">
        <v>45034</v>
      </c>
      <c r="H187" s="6" t="s">
        <v>190</v>
      </c>
      <c r="I187" s="4"/>
      <c r="J187" s="9"/>
      <c r="K187" s="15"/>
      <c r="L187" s="16" t="s">
        <v>46</v>
      </c>
      <c r="M187" s="17"/>
      <c r="N187" s="8"/>
      <c r="O187" s="8" t="s">
        <v>47</v>
      </c>
      <c r="P187" s="17"/>
      <c r="Q187" s="8"/>
      <c r="R187" s="17"/>
      <c r="S187" s="8"/>
      <c r="T187" s="17"/>
      <c r="U187" s="8"/>
      <c r="V187" s="8"/>
      <c r="W187" s="17">
        <v>45073</v>
      </c>
      <c r="X187" s="8"/>
      <c r="Y187" s="21"/>
      <c r="Z187" s="17">
        <v>45077</v>
      </c>
      <c r="AA187" s="8"/>
      <c r="AB187" s="21"/>
      <c r="AC187" s="8"/>
      <c r="AD187" s="8"/>
      <c r="AE187" s="8"/>
      <c r="AF187" s="8"/>
    </row>
    <row r="188" spans="1:32" ht="30" hidden="1">
      <c r="A188" s="8">
        <v>185</v>
      </c>
      <c r="B188" s="55"/>
      <c r="C188" s="8" t="s">
        <v>223</v>
      </c>
      <c r="D188" s="8" t="s">
        <v>41</v>
      </c>
      <c r="E188" s="8" t="s">
        <v>42</v>
      </c>
      <c r="F188" s="8"/>
      <c r="G188" s="11">
        <v>45034</v>
      </c>
      <c r="H188" s="6" t="s">
        <v>190</v>
      </c>
      <c r="I188" s="4"/>
      <c r="J188" s="9"/>
      <c r="K188" s="15"/>
      <c r="L188" s="16" t="s">
        <v>46</v>
      </c>
      <c r="M188" s="17"/>
      <c r="N188" s="8"/>
      <c r="O188" s="8" t="s">
        <v>47</v>
      </c>
      <c r="P188" s="17"/>
      <c r="Q188" s="8"/>
      <c r="R188" s="17"/>
      <c r="S188" s="8"/>
      <c r="T188" s="17"/>
      <c r="U188" s="8"/>
      <c r="V188" s="8"/>
      <c r="W188" s="17">
        <v>45073</v>
      </c>
      <c r="X188" s="8"/>
      <c r="Y188" s="21"/>
      <c r="Z188" s="17">
        <v>45077</v>
      </c>
      <c r="AA188" s="8"/>
      <c r="AB188" s="21"/>
      <c r="AC188" s="8"/>
      <c r="AD188" s="8"/>
      <c r="AE188" s="8"/>
      <c r="AF188" s="8"/>
    </row>
    <row r="189" spans="1:32" ht="30" hidden="1">
      <c r="A189" s="4">
        <v>186</v>
      </c>
      <c r="B189" s="55"/>
      <c r="C189" s="8" t="s">
        <v>224</v>
      </c>
      <c r="D189" s="8" t="s">
        <v>41</v>
      </c>
      <c r="E189" s="8" t="s">
        <v>42</v>
      </c>
      <c r="F189" s="8"/>
      <c r="G189" s="11">
        <v>45034</v>
      </c>
      <c r="H189" s="6" t="s">
        <v>190</v>
      </c>
      <c r="I189" s="4"/>
      <c r="J189" s="9"/>
      <c r="K189" s="15"/>
      <c r="L189" s="16" t="s">
        <v>46</v>
      </c>
      <c r="M189" s="17"/>
      <c r="N189" s="8"/>
      <c r="O189" s="8" t="s">
        <v>47</v>
      </c>
      <c r="P189" s="17"/>
      <c r="Q189" s="8"/>
      <c r="R189" s="17"/>
      <c r="S189" s="8"/>
      <c r="T189" s="17"/>
      <c r="U189" s="8"/>
      <c r="V189" s="8"/>
      <c r="W189" s="17">
        <v>45073</v>
      </c>
      <c r="X189" s="8"/>
      <c r="Y189" s="21"/>
      <c r="Z189" s="17">
        <v>45077</v>
      </c>
      <c r="AA189" s="8"/>
      <c r="AB189" s="21"/>
      <c r="AC189" s="8"/>
      <c r="AD189" s="8"/>
      <c r="AE189" s="8"/>
      <c r="AF189" s="8"/>
    </row>
    <row r="190" spans="1:32" ht="30" hidden="1">
      <c r="A190" s="8">
        <v>187</v>
      </c>
      <c r="B190" s="55"/>
      <c r="C190" s="8" t="s">
        <v>225</v>
      </c>
      <c r="D190" s="8" t="s">
        <v>41</v>
      </c>
      <c r="E190" s="8" t="s">
        <v>42</v>
      </c>
      <c r="F190" s="8"/>
      <c r="G190" s="11">
        <v>45034</v>
      </c>
      <c r="H190" s="6" t="s">
        <v>190</v>
      </c>
      <c r="I190" s="4"/>
      <c r="J190" s="9"/>
      <c r="K190" s="15"/>
      <c r="L190" s="16" t="s">
        <v>46</v>
      </c>
      <c r="M190" s="17"/>
      <c r="N190" s="8"/>
      <c r="O190" s="8" t="s">
        <v>47</v>
      </c>
      <c r="P190" s="17"/>
      <c r="Q190" s="8"/>
      <c r="R190" s="17"/>
      <c r="S190" s="8"/>
      <c r="T190" s="17"/>
      <c r="U190" s="8"/>
      <c r="V190" s="8"/>
      <c r="W190" s="17">
        <v>45073</v>
      </c>
      <c r="X190" s="8"/>
      <c r="Y190" s="21"/>
      <c r="Z190" s="17">
        <v>45077</v>
      </c>
      <c r="AA190" s="8"/>
      <c r="AB190" s="21"/>
      <c r="AC190" s="8"/>
      <c r="AD190" s="8"/>
      <c r="AE190" s="8"/>
      <c r="AF190" s="8"/>
    </row>
    <row r="191" spans="1:32" ht="30" hidden="1">
      <c r="A191" s="4">
        <v>188</v>
      </c>
      <c r="B191" s="55"/>
      <c r="C191" s="4" t="s">
        <v>226</v>
      </c>
      <c r="D191" s="8" t="s">
        <v>41</v>
      </c>
      <c r="E191" s="8" t="s">
        <v>42</v>
      </c>
      <c r="F191" s="8"/>
      <c r="G191" s="11">
        <v>45034</v>
      </c>
      <c r="H191" s="6" t="s">
        <v>190</v>
      </c>
      <c r="I191" s="4"/>
      <c r="J191" s="9"/>
      <c r="K191" s="15"/>
      <c r="L191" s="16" t="s">
        <v>46</v>
      </c>
      <c r="M191" s="17"/>
      <c r="N191" s="8"/>
      <c r="O191" s="8" t="s">
        <v>47</v>
      </c>
      <c r="P191" s="17"/>
      <c r="Q191" s="8"/>
      <c r="R191" s="17"/>
      <c r="S191" s="8"/>
      <c r="T191" s="17"/>
      <c r="U191" s="8"/>
      <c r="V191" s="8"/>
      <c r="W191" s="17">
        <v>45073</v>
      </c>
      <c r="X191" s="8"/>
      <c r="Y191" s="21"/>
      <c r="Z191" s="17">
        <v>45077</v>
      </c>
      <c r="AA191" s="8"/>
      <c r="AB191" s="21"/>
      <c r="AC191" s="8"/>
      <c r="AD191" s="8"/>
      <c r="AE191" s="8"/>
      <c r="AF191" s="8"/>
    </row>
    <row r="192" spans="1:32" ht="30" hidden="1">
      <c r="A192" s="8">
        <v>189</v>
      </c>
      <c r="B192" s="55"/>
      <c r="C192" s="8" t="s">
        <v>227</v>
      </c>
      <c r="D192" s="8" t="s">
        <v>41</v>
      </c>
      <c r="E192" s="8" t="s">
        <v>42</v>
      </c>
      <c r="F192" s="8"/>
      <c r="G192" s="11">
        <v>45034</v>
      </c>
      <c r="H192" s="6" t="s">
        <v>190</v>
      </c>
      <c r="I192" s="4"/>
      <c r="J192" s="9"/>
      <c r="K192" s="15"/>
      <c r="L192" s="16" t="s">
        <v>46</v>
      </c>
      <c r="M192" s="17"/>
      <c r="N192" s="8"/>
      <c r="O192" s="8" t="s">
        <v>47</v>
      </c>
      <c r="P192" s="17"/>
      <c r="Q192" s="8"/>
      <c r="R192" s="17"/>
      <c r="S192" s="8"/>
      <c r="T192" s="17"/>
      <c r="U192" s="8"/>
      <c r="V192" s="8"/>
      <c r="W192" s="17">
        <v>45073</v>
      </c>
      <c r="X192" s="8"/>
      <c r="Y192" s="21"/>
      <c r="Z192" s="17">
        <v>45077</v>
      </c>
      <c r="AA192" s="8"/>
      <c r="AB192" s="21"/>
      <c r="AC192" s="8"/>
      <c r="AD192" s="8"/>
      <c r="AE192" s="8"/>
      <c r="AF192" s="8"/>
    </row>
    <row r="193" spans="1:32" ht="30" hidden="1">
      <c r="A193" s="4">
        <v>190</v>
      </c>
      <c r="B193" s="55" t="s">
        <v>228</v>
      </c>
      <c r="C193" s="8" t="s">
        <v>192</v>
      </c>
      <c r="D193" s="8" t="s">
        <v>41</v>
      </c>
      <c r="E193" s="8" t="s">
        <v>42</v>
      </c>
      <c r="F193" s="8"/>
      <c r="G193" s="11">
        <v>45034</v>
      </c>
      <c r="H193" s="6" t="s">
        <v>190</v>
      </c>
      <c r="I193" s="4"/>
      <c r="J193" s="9"/>
      <c r="K193" s="15"/>
      <c r="L193" s="16" t="s">
        <v>46</v>
      </c>
      <c r="M193" s="17"/>
      <c r="N193" s="8"/>
      <c r="O193" s="8" t="s">
        <v>47</v>
      </c>
      <c r="P193" s="17"/>
      <c r="Q193" s="8"/>
      <c r="R193" s="17"/>
      <c r="S193" s="8"/>
      <c r="T193" s="17"/>
      <c r="U193" s="8"/>
      <c r="V193" s="8"/>
      <c r="W193" s="17">
        <v>45073</v>
      </c>
      <c r="X193" s="8"/>
      <c r="Y193" s="21"/>
      <c r="Z193" s="17">
        <v>45077</v>
      </c>
      <c r="AA193" s="8"/>
      <c r="AB193" s="21"/>
      <c r="AC193" s="8"/>
      <c r="AD193" s="8"/>
      <c r="AE193" s="8"/>
      <c r="AF193" s="8"/>
    </row>
    <row r="194" spans="1:32" ht="30" hidden="1">
      <c r="A194" s="8">
        <v>191</v>
      </c>
      <c r="B194" s="55"/>
      <c r="C194" s="8" t="s">
        <v>229</v>
      </c>
      <c r="D194" s="8" t="s">
        <v>41</v>
      </c>
      <c r="E194" s="8" t="s">
        <v>42</v>
      </c>
      <c r="F194" s="8"/>
      <c r="G194" s="11">
        <v>45034</v>
      </c>
      <c r="H194" s="6" t="s">
        <v>190</v>
      </c>
      <c r="I194" s="4"/>
      <c r="J194" s="9"/>
      <c r="K194" s="15"/>
      <c r="L194" s="16" t="s">
        <v>46</v>
      </c>
      <c r="M194" s="17"/>
      <c r="N194" s="8"/>
      <c r="O194" s="8" t="s">
        <v>47</v>
      </c>
      <c r="P194" s="17"/>
      <c r="Q194" s="8"/>
      <c r="R194" s="17"/>
      <c r="S194" s="8"/>
      <c r="T194" s="17"/>
      <c r="U194" s="8"/>
      <c r="V194" s="8"/>
      <c r="W194" s="17">
        <v>45073</v>
      </c>
      <c r="X194" s="8"/>
      <c r="Y194" s="21"/>
      <c r="Z194" s="17">
        <v>45077</v>
      </c>
      <c r="AA194" s="8"/>
      <c r="AB194" s="21"/>
      <c r="AC194" s="8"/>
      <c r="AD194" s="8"/>
      <c r="AE194" s="8"/>
      <c r="AF194" s="8"/>
    </row>
    <row r="195" spans="1:32" ht="30" hidden="1">
      <c r="A195" s="4">
        <v>192</v>
      </c>
      <c r="B195" s="55"/>
      <c r="C195" s="8" t="s">
        <v>230</v>
      </c>
      <c r="D195" s="8" t="s">
        <v>41</v>
      </c>
      <c r="E195" s="8" t="s">
        <v>42</v>
      </c>
      <c r="F195" s="8"/>
      <c r="G195" s="11">
        <v>45034</v>
      </c>
      <c r="H195" s="6" t="s">
        <v>190</v>
      </c>
      <c r="I195" s="4"/>
      <c r="J195" s="9"/>
      <c r="K195" s="15"/>
      <c r="L195" s="16" t="s">
        <v>46</v>
      </c>
      <c r="M195" s="17"/>
      <c r="N195" s="8"/>
      <c r="O195" s="8" t="s">
        <v>47</v>
      </c>
      <c r="P195" s="17"/>
      <c r="Q195" s="8"/>
      <c r="R195" s="17"/>
      <c r="S195" s="8"/>
      <c r="T195" s="17"/>
      <c r="U195" s="8"/>
      <c r="V195" s="8"/>
      <c r="W195" s="17">
        <v>45073</v>
      </c>
      <c r="X195" s="8"/>
      <c r="Y195" s="21"/>
      <c r="Z195" s="17">
        <v>45077</v>
      </c>
      <c r="AA195" s="8"/>
      <c r="AB195" s="21"/>
      <c r="AC195" s="8"/>
      <c r="AD195" s="8"/>
      <c r="AE195" s="8"/>
      <c r="AF195" s="8"/>
    </row>
    <row r="196" spans="1:32" ht="30" hidden="1">
      <c r="A196" s="8">
        <v>193</v>
      </c>
      <c r="B196" s="55"/>
      <c r="C196" s="8" t="s">
        <v>231</v>
      </c>
      <c r="D196" s="8" t="s">
        <v>41</v>
      </c>
      <c r="E196" s="8" t="s">
        <v>42</v>
      </c>
      <c r="F196" s="8"/>
      <c r="G196" s="11">
        <v>45034</v>
      </c>
      <c r="H196" s="6" t="s">
        <v>190</v>
      </c>
      <c r="I196" s="4"/>
      <c r="J196" s="9"/>
      <c r="K196" s="15"/>
      <c r="L196" s="16" t="s">
        <v>46</v>
      </c>
      <c r="M196" s="17"/>
      <c r="N196" s="8"/>
      <c r="O196" s="8" t="s">
        <v>47</v>
      </c>
      <c r="P196" s="17"/>
      <c r="Q196" s="8"/>
      <c r="R196" s="17"/>
      <c r="S196" s="8"/>
      <c r="T196" s="17"/>
      <c r="U196" s="8"/>
      <c r="V196" s="8"/>
      <c r="W196" s="17">
        <v>45073</v>
      </c>
      <c r="X196" s="8"/>
      <c r="Y196" s="21"/>
      <c r="Z196" s="17">
        <v>45077</v>
      </c>
      <c r="AA196" s="8"/>
      <c r="AB196" s="21"/>
      <c r="AC196" s="8"/>
      <c r="AD196" s="8"/>
      <c r="AE196" s="8"/>
      <c r="AF196" s="8"/>
    </row>
    <row r="197" spans="1:32" ht="30" hidden="1">
      <c r="A197" s="4">
        <v>194</v>
      </c>
      <c r="B197" s="55" t="s">
        <v>232</v>
      </c>
      <c r="C197" s="8" t="s">
        <v>192</v>
      </c>
      <c r="D197" s="8" t="s">
        <v>41</v>
      </c>
      <c r="E197" s="8" t="s">
        <v>42</v>
      </c>
      <c r="F197" s="8"/>
      <c r="G197" s="11">
        <v>45034</v>
      </c>
      <c r="H197" s="6" t="s">
        <v>190</v>
      </c>
      <c r="I197" s="4"/>
      <c r="J197" s="9"/>
      <c r="K197" s="15"/>
      <c r="L197" s="16" t="s">
        <v>46</v>
      </c>
      <c r="M197" s="17"/>
      <c r="N197" s="8"/>
      <c r="O197" s="8" t="s">
        <v>47</v>
      </c>
      <c r="P197" s="17"/>
      <c r="Q197" s="8"/>
      <c r="R197" s="17"/>
      <c r="S197" s="8"/>
      <c r="T197" s="17"/>
      <c r="U197" s="8"/>
      <c r="V197" s="8"/>
      <c r="W197" s="17">
        <v>45073</v>
      </c>
      <c r="X197" s="8"/>
      <c r="Y197" s="21"/>
      <c r="Z197" s="17">
        <v>45077</v>
      </c>
      <c r="AA197" s="8"/>
      <c r="AB197" s="21"/>
      <c r="AC197" s="8"/>
      <c r="AD197" s="8"/>
      <c r="AE197" s="8"/>
      <c r="AF197" s="8"/>
    </row>
    <row r="198" spans="1:32" ht="30" hidden="1">
      <c r="A198" s="8">
        <v>195</v>
      </c>
      <c r="B198" s="55"/>
      <c r="C198" s="8" t="s">
        <v>229</v>
      </c>
      <c r="D198" s="8" t="s">
        <v>41</v>
      </c>
      <c r="E198" s="8" t="s">
        <v>42</v>
      </c>
      <c r="F198" s="8"/>
      <c r="G198" s="11">
        <v>45034</v>
      </c>
      <c r="H198" s="6" t="s">
        <v>190</v>
      </c>
      <c r="I198" s="4"/>
      <c r="J198" s="9"/>
      <c r="K198" s="15"/>
      <c r="L198" s="16" t="s">
        <v>46</v>
      </c>
      <c r="M198" s="17"/>
      <c r="N198" s="8"/>
      <c r="O198" s="8" t="s">
        <v>47</v>
      </c>
      <c r="P198" s="17"/>
      <c r="Q198" s="8"/>
      <c r="R198" s="17"/>
      <c r="S198" s="8"/>
      <c r="T198" s="17"/>
      <c r="U198" s="8"/>
      <c r="V198" s="8"/>
      <c r="W198" s="17">
        <v>45073</v>
      </c>
      <c r="X198" s="8"/>
      <c r="Y198" s="21"/>
      <c r="Z198" s="17">
        <v>45077</v>
      </c>
      <c r="AA198" s="8"/>
      <c r="AB198" s="21"/>
      <c r="AC198" s="8"/>
      <c r="AD198" s="8"/>
      <c r="AE198" s="8"/>
      <c r="AF198" s="8"/>
    </row>
    <row r="199" spans="1:32" ht="30" hidden="1">
      <c r="A199" s="4">
        <v>196</v>
      </c>
      <c r="B199" s="55"/>
      <c r="C199" s="8" t="s">
        <v>233</v>
      </c>
      <c r="D199" s="8" t="s">
        <v>41</v>
      </c>
      <c r="E199" s="8" t="s">
        <v>42</v>
      </c>
      <c r="F199" s="8"/>
      <c r="G199" s="11">
        <v>45034</v>
      </c>
      <c r="H199" s="6" t="s">
        <v>190</v>
      </c>
      <c r="I199" s="4"/>
      <c r="J199" s="9"/>
      <c r="K199" s="15"/>
      <c r="L199" s="16" t="s">
        <v>46</v>
      </c>
      <c r="M199" s="17"/>
      <c r="N199" s="8"/>
      <c r="O199" s="8" t="s">
        <v>47</v>
      </c>
      <c r="P199" s="17"/>
      <c r="Q199" s="8"/>
      <c r="R199" s="17"/>
      <c r="S199" s="8"/>
      <c r="T199" s="17"/>
      <c r="U199" s="8"/>
      <c r="V199" s="8"/>
      <c r="W199" s="17">
        <v>45073</v>
      </c>
      <c r="X199" s="8"/>
      <c r="Y199" s="21"/>
      <c r="Z199" s="17">
        <v>45077</v>
      </c>
      <c r="AA199" s="8"/>
      <c r="AB199" s="21"/>
      <c r="AC199" s="8"/>
      <c r="AD199" s="8"/>
      <c r="AE199" s="8"/>
      <c r="AF199" s="8"/>
    </row>
    <row r="200" spans="1:32" ht="30" hidden="1">
      <c r="A200" s="8">
        <v>197</v>
      </c>
      <c r="B200" s="55"/>
      <c r="C200" s="8" t="s">
        <v>234</v>
      </c>
      <c r="D200" s="8" t="s">
        <v>41</v>
      </c>
      <c r="E200" s="8" t="s">
        <v>42</v>
      </c>
      <c r="F200" s="8"/>
      <c r="G200" s="11">
        <v>45034</v>
      </c>
      <c r="H200" s="6" t="s">
        <v>190</v>
      </c>
      <c r="I200" s="4"/>
      <c r="J200" s="9"/>
      <c r="K200" s="15"/>
      <c r="L200" s="16" t="s">
        <v>46</v>
      </c>
      <c r="M200" s="17"/>
      <c r="N200" s="8"/>
      <c r="O200" s="8" t="s">
        <v>47</v>
      </c>
      <c r="P200" s="17"/>
      <c r="Q200" s="8"/>
      <c r="R200" s="17"/>
      <c r="S200" s="8"/>
      <c r="T200" s="17"/>
      <c r="U200" s="8"/>
      <c r="V200" s="8"/>
      <c r="W200" s="17">
        <v>45073</v>
      </c>
      <c r="X200" s="8"/>
      <c r="Y200" s="21"/>
      <c r="Z200" s="17">
        <v>45077</v>
      </c>
      <c r="AA200" s="8"/>
      <c r="AB200" s="21"/>
      <c r="AC200" s="8"/>
      <c r="AD200" s="8"/>
      <c r="AE200" s="8"/>
      <c r="AF200" s="8"/>
    </row>
    <row r="201" spans="1:32" ht="16" hidden="1">
      <c r="A201" s="52" t="s">
        <v>235</v>
      </c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</row>
    <row r="202" spans="1:32" s="1" customFormat="1" ht="15" hidden="1">
      <c r="A202" s="8">
        <v>198</v>
      </c>
      <c r="B202" s="55" t="s">
        <v>236</v>
      </c>
      <c r="C202" s="24" t="s">
        <v>237</v>
      </c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">
      <c r="A203" s="8">
        <v>199</v>
      </c>
      <c r="B203" s="55"/>
      <c r="C203" s="8" t="s">
        <v>238</v>
      </c>
      <c r="D203" s="8" t="s">
        <v>239</v>
      </c>
      <c r="E203" s="8" t="s">
        <v>42</v>
      </c>
      <c r="F203" s="9" t="s">
        <v>66</v>
      </c>
      <c r="G203" s="9" t="s">
        <v>66</v>
      </c>
      <c r="H203" s="26" t="s">
        <v>240</v>
      </c>
      <c r="I203" s="8" t="s">
        <v>241</v>
      </c>
      <c r="J203" s="9">
        <v>45046</v>
      </c>
      <c r="K203" s="58" t="s">
        <v>242</v>
      </c>
      <c r="L203" s="16" t="s">
        <v>243</v>
      </c>
      <c r="M203" s="9">
        <f t="shared" ref="M203:M217" si="35">J203+10</f>
        <v>45056</v>
      </c>
      <c r="N203" s="8"/>
      <c r="O203" s="8" t="s">
        <v>47</v>
      </c>
      <c r="P203" s="9">
        <f t="shared" ref="P203:P217" si="36">J203+6</f>
        <v>45052</v>
      </c>
      <c r="Q203" s="9"/>
      <c r="R203" s="9">
        <f t="shared" ref="R203:R217" si="37">J203+9</f>
        <v>45055</v>
      </c>
      <c r="S203" s="9"/>
      <c r="T203" s="9">
        <f t="shared" ref="T203:T217" si="38">J203+12</f>
        <v>45058</v>
      </c>
      <c r="U203" s="9"/>
      <c r="V203" s="8"/>
      <c r="W203" s="17">
        <v>45073</v>
      </c>
      <c r="X203" s="17"/>
      <c r="Y203" s="8"/>
      <c r="Z203" s="17">
        <v>45077</v>
      </c>
      <c r="AA203" s="9"/>
      <c r="AB203" s="8"/>
      <c r="AC203" s="8"/>
      <c r="AD203" s="8"/>
      <c r="AE203" s="8"/>
      <c r="AF203" s="16"/>
    </row>
    <row r="204" spans="1:32" ht="15">
      <c r="A204" s="8">
        <v>200</v>
      </c>
      <c r="B204" s="55"/>
      <c r="C204" s="8" t="s">
        <v>244</v>
      </c>
      <c r="D204" s="8" t="s">
        <v>239</v>
      </c>
      <c r="E204" s="8" t="s">
        <v>42</v>
      </c>
      <c r="F204" s="9" t="s">
        <v>66</v>
      </c>
      <c r="G204" s="9" t="s">
        <v>66</v>
      </c>
      <c r="H204" s="26" t="s">
        <v>240</v>
      </c>
      <c r="I204" s="8" t="s">
        <v>241</v>
      </c>
      <c r="J204" s="9">
        <v>45046</v>
      </c>
      <c r="K204" s="58"/>
      <c r="L204" s="16" t="s">
        <v>243</v>
      </c>
      <c r="M204" s="9">
        <f t="shared" si="35"/>
        <v>45056</v>
      </c>
      <c r="N204" s="8"/>
      <c r="O204" s="8" t="s">
        <v>47</v>
      </c>
      <c r="P204" s="9">
        <f t="shared" si="36"/>
        <v>45052</v>
      </c>
      <c r="Q204" s="9"/>
      <c r="R204" s="9">
        <f t="shared" si="37"/>
        <v>45055</v>
      </c>
      <c r="S204" s="9"/>
      <c r="T204" s="9">
        <f t="shared" si="38"/>
        <v>45058</v>
      </c>
      <c r="U204" s="9"/>
      <c r="V204" s="8"/>
      <c r="W204" s="17">
        <v>45073</v>
      </c>
      <c r="X204" s="17"/>
      <c r="Y204" s="8"/>
      <c r="Z204" s="17">
        <v>45077</v>
      </c>
      <c r="AA204" s="9"/>
      <c r="AB204" s="8"/>
      <c r="AC204" s="8"/>
      <c r="AD204" s="8"/>
      <c r="AE204" s="8"/>
      <c r="AF204" s="16"/>
    </row>
    <row r="205" spans="1:32" ht="15">
      <c r="A205" s="8">
        <v>201</v>
      </c>
      <c r="B205" s="55"/>
      <c r="C205" s="8" t="s">
        <v>245</v>
      </c>
      <c r="D205" s="8" t="s">
        <v>239</v>
      </c>
      <c r="E205" s="8" t="s">
        <v>42</v>
      </c>
      <c r="F205" s="9" t="s">
        <v>66</v>
      </c>
      <c r="G205" s="9" t="s">
        <v>66</v>
      </c>
      <c r="H205" s="26" t="s">
        <v>240</v>
      </c>
      <c r="I205" s="8" t="s">
        <v>241</v>
      </c>
      <c r="J205" s="9">
        <v>45046</v>
      </c>
      <c r="K205" s="58"/>
      <c r="L205" s="16" t="s">
        <v>243</v>
      </c>
      <c r="M205" s="9">
        <f t="shared" si="35"/>
        <v>45056</v>
      </c>
      <c r="N205" s="8"/>
      <c r="O205" s="8" t="s">
        <v>47</v>
      </c>
      <c r="P205" s="9">
        <f t="shared" si="36"/>
        <v>45052</v>
      </c>
      <c r="Q205" s="9"/>
      <c r="R205" s="9">
        <f t="shared" si="37"/>
        <v>45055</v>
      </c>
      <c r="S205" s="9"/>
      <c r="T205" s="9">
        <f t="shared" si="38"/>
        <v>45058</v>
      </c>
      <c r="U205" s="9"/>
      <c r="V205" s="8"/>
      <c r="W205" s="17">
        <v>45073</v>
      </c>
      <c r="X205" s="17"/>
      <c r="Y205" s="8"/>
      <c r="Z205" s="17">
        <v>45077</v>
      </c>
      <c r="AA205" s="9"/>
      <c r="AB205" s="8"/>
      <c r="AC205" s="8"/>
      <c r="AD205" s="8"/>
      <c r="AE205" s="8"/>
      <c r="AF205" s="16"/>
    </row>
    <row r="206" spans="1:32" ht="15">
      <c r="A206" s="8">
        <v>202</v>
      </c>
      <c r="B206" s="55"/>
      <c r="C206" s="8" t="s">
        <v>246</v>
      </c>
      <c r="D206" s="8" t="s">
        <v>239</v>
      </c>
      <c r="E206" s="8" t="s">
        <v>42</v>
      </c>
      <c r="F206" s="9" t="s">
        <v>66</v>
      </c>
      <c r="G206" s="9" t="s">
        <v>66</v>
      </c>
      <c r="H206" s="26" t="s">
        <v>240</v>
      </c>
      <c r="I206" s="8" t="s">
        <v>241</v>
      </c>
      <c r="J206" s="9">
        <v>45061</v>
      </c>
      <c r="K206" s="58" t="s">
        <v>247</v>
      </c>
      <c r="L206" s="16" t="s">
        <v>243</v>
      </c>
      <c r="M206" s="9">
        <f t="shared" si="35"/>
        <v>45071</v>
      </c>
      <c r="N206" s="8"/>
      <c r="O206" s="8" t="s">
        <v>47</v>
      </c>
      <c r="P206" s="9">
        <f t="shared" si="36"/>
        <v>45067</v>
      </c>
      <c r="Q206" s="9"/>
      <c r="R206" s="9">
        <f t="shared" si="37"/>
        <v>45070</v>
      </c>
      <c r="S206" s="9"/>
      <c r="T206" s="9">
        <f t="shared" si="38"/>
        <v>45073</v>
      </c>
      <c r="U206" s="9"/>
      <c r="V206" s="8"/>
      <c r="W206" s="17">
        <v>45073</v>
      </c>
      <c r="X206" s="17"/>
      <c r="Y206" s="8"/>
      <c r="Z206" s="17">
        <v>45077</v>
      </c>
      <c r="AA206" s="9"/>
      <c r="AB206" s="8"/>
      <c r="AC206" s="8"/>
      <c r="AD206" s="8"/>
      <c r="AE206" s="8"/>
      <c r="AF206" s="16"/>
    </row>
    <row r="207" spans="1:32" ht="15">
      <c r="A207" s="8">
        <v>203</v>
      </c>
      <c r="B207" s="55"/>
      <c r="C207" s="8" t="s">
        <v>248</v>
      </c>
      <c r="D207" s="8" t="s">
        <v>239</v>
      </c>
      <c r="E207" s="8" t="s">
        <v>42</v>
      </c>
      <c r="F207" s="9" t="s">
        <v>66</v>
      </c>
      <c r="G207" s="9" t="s">
        <v>66</v>
      </c>
      <c r="H207" s="26" t="s">
        <v>240</v>
      </c>
      <c r="I207" s="8" t="s">
        <v>241</v>
      </c>
      <c r="J207" s="9">
        <v>45061</v>
      </c>
      <c r="K207" s="58"/>
      <c r="L207" s="16" t="s">
        <v>243</v>
      </c>
      <c r="M207" s="9">
        <f t="shared" si="35"/>
        <v>45071</v>
      </c>
      <c r="N207" s="8"/>
      <c r="O207" s="8" t="s">
        <v>47</v>
      </c>
      <c r="P207" s="9">
        <f t="shared" si="36"/>
        <v>45067</v>
      </c>
      <c r="Q207" s="9"/>
      <c r="R207" s="9">
        <f t="shared" si="37"/>
        <v>45070</v>
      </c>
      <c r="S207" s="9"/>
      <c r="T207" s="9">
        <f t="shared" si="38"/>
        <v>45073</v>
      </c>
      <c r="U207" s="9"/>
      <c r="V207" s="8"/>
      <c r="W207" s="17">
        <v>45073</v>
      </c>
      <c r="X207" s="17"/>
      <c r="Y207" s="8"/>
      <c r="Z207" s="17">
        <v>45077</v>
      </c>
      <c r="AA207" s="9"/>
      <c r="AB207" s="8"/>
      <c r="AC207" s="8"/>
      <c r="AD207" s="8"/>
      <c r="AE207" s="8"/>
      <c r="AF207" s="16"/>
    </row>
    <row r="208" spans="1:32" ht="15">
      <c r="A208" s="8">
        <v>204</v>
      </c>
      <c r="B208" s="55"/>
      <c r="C208" s="8" t="s">
        <v>249</v>
      </c>
      <c r="D208" s="8" t="s">
        <v>239</v>
      </c>
      <c r="E208" s="8" t="s">
        <v>42</v>
      </c>
      <c r="F208" s="9" t="s">
        <v>66</v>
      </c>
      <c r="G208" s="9" t="s">
        <v>66</v>
      </c>
      <c r="H208" s="26" t="s">
        <v>240</v>
      </c>
      <c r="I208" s="8" t="s">
        <v>241</v>
      </c>
      <c r="J208" s="9">
        <v>45021</v>
      </c>
      <c r="K208" s="58" t="s">
        <v>250</v>
      </c>
      <c r="L208" s="16" t="s">
        <v>243</v>
      </c>
      <c r="M208" s="9">
        <f t="shared" si="35"/>
        <v>45031</v>
      </c>
      <c r="N208" s="8"/>
      <c r="O208" s="8" t="s">
        <v>47</v>
      </c>
      <c r="P208" s="9">
        <f t="shared" si="36"/>
        <v>45027</v>
      </c>
      <c r="Q208" s="9"/>
      <c r="R208" s="9">
        <f t="shared" si="37"/>
        <v>45030</v>
      </c>
      <c r="S208" s="9"/>
      <c r="T208" s="9">
        <f t="shared" si="38"/>
        <v>45033</v>
      </c>
      <c r="U208" s="9"/>
      <c r="V208" s="8"/>
      <c r="W208" s="17">
        <v>45073</v>
      </c>
      <c r="X208" s="17"/>
      <c r="Y208" s="8"/>
      <c r="Z208" s="17">
        <v>45077</v>
      </c>
      <c r="AA208" s="9"/>
      <c r="AB208" s="8"/>
      <c r="AC208" s="8"/>
      <c r="AD208" s="8"/>
      <c r="AE208" s="8"/>
      <c r="AF208" s="16"/>
    </row>
    <row r="209" spans="1:32" ht="15">
      <c r="A209" s="8">
        <v>205</v>
      </c>
      <c r="B209" s="55"/>
      <c r="C209" s="8" t="s">
        <v>251</v>
      </c>
      <c r="D209" s="8" t="s">
        <v>239</v>
      </c>
      <c r="E209" s="8" t="s">
        <v>42</v>
      </c>
      <c r="F209" s="9" t="s">
        <v>66</v>
      </c>
      <c r="G209" s="9" t="s">
        <v>66</v>
      </c>
      <c r="H209" s="26" t="s">
        <v>240</v>
      </c>
      <c r="I209" s="8" t="s">
        <v>241</v>
      </c>
      <c r="J209" s="9">
        <v>45021</v>
      </c>
      <c r="K209" s="58"/>
      <c r="L209" s="16" t="s">
        <v>243</v>
      </c>
      <c r="M209" s="9">
        <f t="shared" si="35"/>
        <v>45031</v>
      </c>
      <c r="N209" s="8"/>
      <c r="O209" s="8" t="s">
        <v>47</v>
      </c>
      <c r="P209" s="9">
        <f t="shared" si="36"/>
        <v>45027</v>
      </c>
      <c r="Q209" s="9"/>
      <c r="R209" s="9">
        <f t="shared" si="37"/>
        <v>45030</v>
      </c>
      <c r="S209" s="9"/>
      <c r="T209" s="9">
        <f t="shared" si="38"/>
        <v>45033</v>
      </c>
      <c r="U209" s="9"/>
      <c r="V209" s="8"/>
      <c r="W209" s="17">
        <v>45073</v>
      </c>
      <c r="X209" s="17"/>
      <c r="Y209" s="8"/>
      <c r="Z209" s="17">
        <v>45077</v>
      </c>
      <c r="AA209" s="9"/>
      <c r="AB209" s="8"/>
      <c r="AC209" s="8"/>
      <c r="AD209" s="8"/>
      <c r="AE209" s="8"/>
      <c r="AF209" s="16"/>
    </row>
    <row r="210" spans="1:32" ht="15">
      <c r="A210" s="8">
        <v>206</v>
      </c>
      <c r="B210" s="55"/>
      <c r="C210" s="8" t="s">
        <v>252</v>
      </c>
      <c r="D210" s="8" t="s">
        <v>239</v>
      </c>
      <c r="E210" s="8" t="s">
        <v>42</v>
      </c>
      <c r="F210" s="9" t="s">
        <v>66</v>
      </c>
      <c r="G210" s="9" t="s">
        <v>66</v>
      </c>
      <c r="H210" s="26" t="s">
        <v>240</v>
      </c>
      <c r="I210" s="8" t="s">
        <v>241</v>
      </c>
      <c r="J210" s="9">
        <v>45021</v>
      </c>
      <c r="K210" s="58"/>
      <c r="L210" s="16" t="s">
        <v>243</v>
      </c>
      <c r="M210" s="9">
        <f t="shared" si="35"/>
        <v>45031</v>
      </c>
      <c r="N210" s="8"/>
      <c r="O210" s="8" t="s">
        <v>47</v>
      </c>
      <c r="P210" s="9">
        <f t="shared" si="36"/>
        <v>45027</v>
      </c>
      <c r="Q210" s="9"/>
      <c r="R210" s="9">
        <f t="shared" si="37"/>
        <v>45030</v>
      </c>
      <c r="S210" s="9"/>
      <c r="T210" s="9">
        <f t="shared" si="38"/>
        <v>45033</v>
      </c>
      <c r="U210" s="9"/>
      <c r="V210" s="8"/>
      <c r="W210" s="17">
        <v>45073</v>
      </c>
      <c r="X210" s="17"/>
      <c r="Y210" s="8"/>
      <c r="Z210" s="17">
        <v>45077</v>
      </c>
      <c r="AA210" s="9"/>
      <c r="AB210" s="8"/>
      <c r="AC210" s="8"/>
      <c r="AD210" s="8"/>
      <c r="AE210" s="8"/>
      <c r="AF210" s="16"/>
    </row>
    <row r="211" spans="1:32" ht="15">
      <c r="A211" s="8">
        <v>207</v>
      </c>
      <c r="B211" s="55"/>
      <c r="C211" s="8" t="s">
        <v>253</v>
      </c>
      <c r="D211" s="8" t="s">
        <v>239</v>
      </c>
      <c r="E211" s="8" t="s">
        <v>42</v>
      </c>
      <c r="F211" s="9" t="s">
        <v>66</v>
      </c>
      <c r="G211" s="9" t="s">
        <v>66</v>
      </c>
      <c r="H211" s="26" t="s">
        <v>240</v>
      </c>
      <c r="I211" s="8" t="s">
        <v>241</v>
      </c>
      <c r="J211" s="9">
        <v>45021</v>
      </c>
      <c r="K211" s="58"/>
      <c r="L211" s="16" t="s">
        <v>243</v>
      </c>
      <c r="M211" s="9">
        <f t="shared" si="35"/>
        <v>45031</v>
      </c>
      <c r="N211" s="8"/>
      <c r="O211" s="8" t="s">
        <v>47</v>
      </c>
      <c r="P211" s="9">
        <f t="shared" si="36"/>
        <v>45027</v>
      </c>
      <c r="Q211" s="9"/>
      <c r="R211" s="9">
        <f t="shared" si="37"/>
        <v>45030</v>
      </c>
      <c r="S211" s="9"/>
      <c r="T211" s="9">
        <f t="shared" si="38"/>
        <v>45033</v>
      </c>
      <c r="U211" s="9"/>
      <c r="V211" s="8"/>
      <c r="W211" s="17">
        <v>45073</v>
      </c>
      <c r="X211" s="17"/>
      <c r="Y211" s="8"/>
      <c r="Z211" s="17">
        <v>45077</v>
      </c>
      <c r="AA211" s="9"/>
      <c r="AB211" s="8"/>
      <c r="AC211" s="8"/>
      <c r="AD211" s="8"/>
      <c r="AE211" s="8"/>
      <c r="AF211" s="16"/>
    </row>
    <row r="212" spans="1:32" ht="15">
      <c r="A212" s="8">
        <v>208</v>
      </c>
      <c r="B212" s="55"/>
      <c r="C212" s="8" t="s">
        <v>254</v>
      </c>
      <c r="D212" s="8" t="s">
        <v>239</v>
      </c>
      <c r="E212" s="8" t="s">
        <v>42</v>
      </c>
      <c r="F212" s="9" t="s">
        <v>66</v>
      </c>
      <c r="G212" s="9" t="s">
        <v>66</v>
      </c>
      <c r="H212" s="26" t="s">
        <v>240</v>
      </c>
      <c r="I212" s="8" t="s">
        <v>241</v>
      </c>
      <c r="J212" s="9">
        <v>45021</v>
      </c>
      <c r="K212" s="58"/>
      <c r="L212" s="16" t="s">
        <v>243</v>
      </c>
      <c r="M212" s="9">
        <f t="shared" si="35"/>
        <v>45031</v>
      </c>
      <c r="N212" s="8"/>
      <c r="O212" s="8" t="s">
        <v>47</v>
      </c>
      <c r="P212" s="9">
        <f t="shared" si="36"/>
        <v>45027</v>
      </c>
      <c r="Q212" s="9"/>
      <c r="R212" s="9">
        <f t="shared" si="37"/>
        <v>45030</v>
      </c>
      <c r="S212" s="9"/>
      <c r="T212" s="9">
        <f t="shared" si="38"/>
        <v>45033</v>
      </c>
      <c r="U212" s="9"/>
      <c r="V212" s="8"/>
      <c r="W212" s="17">
        <v>45073</v>
      </c>
      <c r="X212" s="17"/>
      <c r="Y212" s="8"/>
      <c r="Z212" s="17">
        <v>45077</v>
      </c>
      <c r="AA212" s="9"/>
      <c r="AB212" s="8"/>
      <c r="AC212" s="8"/>
      <c r="AD212" s="8"/>
      <c r="AE212" s="8"/>
      <c r="AF212" s="16"/>
    </row>
    <row r="213" spans="1:32" ht="15">
      <c r="A213" s="8">
        <v>209</v>
      </c>
      <c r="B213" s="55"/>
      <c r="C213" s="8" t="s">
        <v>255</v>
      </c>
      <c r="D213" s="8" t="s">
        <v>239</v>
      </c>
      <c r="E213" s="8" t="s">
        <v>42</v>
      </c>
      <c r="F213" s="9" t="s">
        <v>66</v>
      </c>
      <c r="G213" s="9" t="s">
        <v>66</v>
      </c>
      <c r="H213" s="26" t="s">
        <v>240</v>
      </c>
      <c r="I213" s="8" t="s">
        <v>241</v>
      </c>
      <c r="J213" s="9">
        <v>45021</v>
      </c>
      <c r="K213" s="58"/>
      <c r="L213" s="16" t="s">
        <v>243</v>
      </c>
      <c r="M213" s="9">
        <f t="shared" si="35"/>
        <v>45031</v>
      </c>
      <c r="N213" s="8"/>
      <c r="O213" s="8" t="s">
        <v>47</v>
      </c>
      <c r="P213" s="9">
        <f t="shared" si="36"/>
        <v>45027</v>
      </c>
      <c r="Q213" s="9"/>
      <c r="R213" s="9">
        <f t="shared" si="37"/>
        <v>45030</v>
      </c>
      <c r="S213" s="9"/>
      <c r="T213" s="9">
        <f t="shared" si="38"/>
        <v>45033</v>
      </c>
      <c r="U213" s="9"/>
      <c r="V213" s="8"/>
      <c r="W213" s="17">
        <v>45073</v>
      </c>
      <c r="X213" s="17"/>
      <c r="Y213" s="8"/>
      <c r="Z213" s="17">
        <v>45077</v>
      </c>
      <c r="AA213" s="9"/>
      <c r="AB213" s="8"/>
      <c r="AC213" s="8"/>
      <c r="AD213" s="8"/>
      <c r="AE213" s="8"/>
      <c r="AF213" s="16"/>
    </row>
    <row r="214" spans="1:32" ht="15">
      <c r="A214" s="8">
        <v>210</v>
      </c>
      <c r="B214" s="55"/>
      <c r="C214" s="8" t="s">
        <v>256</v>
      </c>
      <c r="D214" s="8" t="s">
        <v>239</v>
      </c>
      <c r="E214" s="8" t="s">
        <v>42</v>
      </c>
      <c r="F214" s="9" t="s">
        <v>66</v>
      </c>
      <c r="G214" s="9" t="s">
        <v>66</v>
      </c>
      <c r="H214" s="26" t="s">
        <v>240</v>
      </c>
      <c r="I214" s="8" t="s">
        <v>241</v>
      </c>
      <c r="J214" s="9">
        <v>45021</v>
      </c>
      <c r="K214" s="58"/>
      <c r="L214" s="16" t="s">
        <v>243</v>
      </c>
      <c r="M214" s="9">
        <f t="shared" si="35"/>
        <v>45031</v>
      </c>
      <c r="N214" s="8"/>
      <c r="O214" s="8" t="s">
        <v>47</v>
      </c>
      <c r="P214" s="9">
        <f t="shared" si="36"/>
        <v>45027</v>
      </c>
      <c r="Q214" s="9"/>
      <c r="R214" s="9">
        <f t="shared" si="37"/>
        <v>45030</v>
      </c>
      <c r="S214" s="9"/>
      <c r="T214" s="9">
        <f t="shared" si="38"/>
        <v>45033</v>
      </c>
      <c r="U214" s="9"/>
      <c r="V214" s="8"/>
      <c r="W214" s="17">
        <v>45073</v>
      </c>
      <c r="X214" s="17"/>
      <c r="Y214" s="8"/>
      <c r="Z214" s="17">
        <v>45077</v>
      </c>
      <c r="AA214" s="9"/>
      <c r="AB214" s="8"/>
      <c r="AC214" s="8"/>
      <c r="AD214" s="8"/>
      <c r="AE214" s="8"/>
      <c r="AF214" s="16"/>
    </row>
    <row r="215" spans="1:32" ht="15">
      <c r="A215" s="8">
        <v>211</v>
      </c>
      <c r="B215" s="55"/>
      <c r="C215" s="8" t="s">
        <v>257</v>
      </c>
      <c r="D215" s="8" t="s">
        <v>239</v>
      </c>
      <c r="E215" s="8" t="s">
        <v>42</v>
      </c>
      <c r="F215" s="9" t="s">
        <v>66</v>
      </c>
      <c r="G215" s="9" t="s">
        <v>66</v>
      </c>
      <c r="H215" s="26" t="s">
        <v>240</v>
      </c>
      <c r="I215" s="8" t="s">
        <v>241</v>
      </c>
      <c r="J215" s="9">
        <v>45021</v>
      </c>
      <c r="K215" s="58"/>
      <c r="L215" s="16" t="s">
        <v>243</v>
      </c>
      <c r="M215" s="9">
        <f t="shared" si="35"/>
        <v>45031</v>
      </c>
      <c r="N215" s="8"/>
      <c r="O215" s="8" t="s">
        <v>47</v>
      </c>
      <c r="P215" s="9">
        <f t="shared" si="36"/>
        <v>45027</v>
      </c>
      <c r="Q215" s="9"/>
      <c r="R215" s="9">
        <f t="shared" si="37"/>
        <v>45030</v>
      </c>
      <c r="S215" s="9"/>
      <c r="T215" s="9">
        <f t="shared" si="38"/>
        <v>45033</v>
      </c>
      <c r="U215" s="9"/>
      <c r="V215" s="8"/>
      <c r="W215" s="17">
        <v>45073</v>
      </c>
      <c r="X215" s="17"/>
      <c r="Y215" s="8"/>
      <c r="Z215" s="17">
        <v>45077</v>
      </c>
      <c r="AA215" s="9"/>
      <c r="AB215" s="8"/>
      <c r="AC215" s="8"/>
      <c r="AD215" s="8"/>
      <c r="AE215" s="8"/>
      <c r="AF215" s="16"/>
    </row>
    <row r="216" spans="1:32" ht="15">
      <c r="A216" s="8">
        <v>212</v>
      </c>
      <c r="B216" s="55"/>
      <c r="C216" s="8" t="s">
        <v>258</v>
      </c>
      <c r="D216" s="8" t="s">
        <v>239</v>
      </c>
      <c r="E216" s="8" t="s">
        <v>42</v>
      </c>
      <c r="F216" s="9" t="s">
        <v>66</v>
      </c>
      <c r="G216" s="9" t="s">
        <v>66</v>
      </c>
      <c r="H216" s="26" t="s">
        <v>240</v>
      </c>
      <c r="I216" s="8" t="s">
        <v>241</v>
      </c>
      <c r="J216" s="9">
        <v>45021</v>
      </c>
      <c r="K216" s="58"/>
      <c r="L216" s="16" t="s">
        <v>243</v>
      </c>
      <c r="M216" s="9">
        <f t="shared" si="35"/>
        <v>45031</v>
      </c>
      <c r="N216" s="8"/>
      <c r="O216" s="8" t="s">
        <v>47</v>
      </c>
      <c r="P216" s="9">
        <f t="shared" si="36"/>
        <v>45027</v>
      </c>
      <c r="Q216" s="9"/>
      <c r="R216" s="9">
        <f t="shared" si="37"/>
        <v>45030</v>
      </c>
      <c r="S216" s="9"/>
      <c r="T216" s="9">
        <f t="shared" si="38"/>
        <v>45033</v>
      </c>
      <c r="U216" s="9"/>
      <c r="V216" s="8"/>
      <c r="W216" s="17">
        <v>45073</v>
      </c>
      <c r="X216" s="17"/>
      <c r="Y216" s="8"/>
      <c r="Z216" s="17">
        <v>45077</v>
      </c>
      <c r="AA216" s="9"/>
      <c r="AB216" s="8"/>
      <c r="AC216" s="8"/>
      <c r="AD216" s="8"/>
      <c r="AE216" s="8"/>
      <c r="AF216" s="16"/>
    </row>
    <row r="217" spans="1:32" ht="45">
      <c r="A217" s="8">
        <v>213</v>
      </c>
      <c r="B217" s="55"/>
      <c r="C217" s="8" t="s">
        <v>259</v>
      </c>
      <c r="D217" s="8" t="s">
        <v>239</v>
      </c>
      <c r="E217" s="8" t="s">
        <v>42</v>
      </c>
      <c r="F217" s="9" t="s">
        <v>66</v>
      </c>
      <c r="G217" s="9" t="s">
        <v>66</v>
      </c>
      <c r="H217" s="26" t="s">
        <v>240</v>
      </c>
      <c r="I217" s="8" t="s">
        <v>241</v>
      </c>
      <c r="J217" s="9" t="s">
        <v>260</v>
      </c>
      <c r="K217" s="15" t="s">
        <v>261</v>
      </c>
      <c r="L217" s="16" t="s">
        <v>243</v>
      </c>
      <c r="M217" s="9" t="e">
        <f t="shared" si="35"/>
        <v>#VALUE!</v>
      </c>
      <c r="N217" s="8"/>
      <c r="O217" s="8" t="s">
        <v>47</v>
      </c>
      <c r="P217" s="9" t="e">
        <f t="shared" si="36"/>
        <v>#VALUE!</v>
      </c>
      <c r="Q217" s="9"/>
      <c r="R217" s="9" t="e">
        <f t="shared" si="37"/>
        <v>#VALUE!</v>
      </c>
      <c r="S217" s="9"/>
      <c r="T217" s="9" t="e">
        <f t="shared" si="38"/>
        <v>#VALUE!</v>
      </c>
      <c r="U217" s="9"/>
      <c r="V217" s="8"/>
      <c r="W217" s="17">
        <v>45073</v>
      </c>
      <c r="X217" s="17"/>
      <c r="Y217" s="8"/>
      <c r="Z217" s="17">
        <v>45077</v>
      </c>
      <c r="AA217" s="9"/>
      <c r="AB217" s="8"/>
      <c r="AC217" s="8"/>
      <c r="AD217" s="8"/>
      <c r="AE217" s="8"/>
      <c r="AF217" s="16"/>
    </row>
    <row r="218" spans="1:32" ht="15" hidden="1">
      <c r="A218" s="8">
        <v>214</v>
      </c>
      <c r="B218" s="55"/>
      <c r="C218" s="24" t="s">
        <v>262</v>
      </c>
      <c r="D218" s="8"/>
      <c r="E218" s="8"/>
      <c r="F218" s="9"/>
      <c r="G218" s="9"/>
      <c r="H218" s="26"/>
      <c r="I218" s="8"/>
      <c r="J218" s="9"/>
      <c r="K218" s="15"/>
      <c r="L218" s="16"/>
      <c r="M218" s="9"/>
      <c r="N218" s="8"/>
      <c r="O218" s="8"/>
      <c r="P218" s="9"/>
      <c r="Q218" s="9"/>
      <c r="R218" s="9"/>
      <c r="S218" s="9"/>
      <c r="T218" s="9"/>
      <c r="U218" s="9"/>
      <c r="V218" s="8"/>
      <c r="W218" s="17"/>
      <c r="X218" s="17"/>
      <c r="Y218" s="8"/>
      <c r="Z218" s="17"/>
      <c r="AA218" s="9"/>
      <c r="AB218" s="8"/>
      <c r="AC218" s="8"/>
      <c r="AD218" s="8"/>
      <c r="AE218" s="8"/>
      <c r="AF218" s="16"/>
    </row>
    <row r="219" spans="1:32" ht="15">
      <c r="A219" s="8">
        <v>215</v>
      </c>
      <c r="B219" s="55"/>
      <c r="C219" s="8" t="s">
        <v>263</v>
      </c>
      <c r="D219" s="8" t="s">
        <v>239</v>
      </c>
      <c r="E219" s="8" t="s">
        <v>42</v>
      </c>
      <c r="F219" s="9" t="s">
        <v>66</v>
      </c>
      <c r="G219" s="9" t="s">
        <v>66</v>
      </c>
      <c r="H219" s="26" t="s">
        <v>240</v>
      </c>
      <c r="I219" s="8" t="s">
        <v>241</v>
      </c>
      <c r="J219" s="9">
        <v>45021</v>
      </c>
      <c r="K219" s="58" t="s">
        <v>264</v>
      </c>
      <c r="L219" s="16" t="s">
        <v>243</v>
      </c>
      <c r="M219" s="9">
        <f t="shared" ref="M219:M221" si="39">J219+10</f>
        <v>45031</v>
      </c>
      <c r="N219" s="8"/>
      <c r="O219" s="8" t="s">
        <v>47</v>
      </c>
      <c r="P219" s="9">
        <f t="shared" ref="P219:P221" si="40">J219+6</f>
        <v>45027</v>
      </c>
      <c r="Q219" s="9"/>
      <c r="R219" s="9">
        <f t="shared" ref="R219:R221" si="41">J219+9</f>
        <v>45030</v>
      </c>
      <c r="S219" s="9"/>
      <c r="T219" s="9">
        <f t="shared" ref="T219:T221" si="42">J219+12</f>
        <v>45033</v>
      </c>
      <c r="U219" s="9"/>
      <c r="V219" s="8"/>
      <c r="W219" s="17">
        <v>45073</v>
      </c>
      <c r="X219" s="17"/>
      <c r="Y219" s="8"/>
      <c r="Z219" s="17">
        <v>45077</v>
      </c>
      <c r="AA219" s="9"/>
      <c r="AB219" s="8"/>
      <c r="AC219" s="8"/>
      <c r="AD219" s="8"/>
      <c r="AE219" s="8"/>
      <c r="AF219" s="16"/>
    </row>
    <row r="220" spans="1:32" ht="15">
      <c r="A220" s="8">
        <v>216</v>
      </c>
      <c r="B220" s="55"/>
      <c r="C220" s="8" t="s">
        <v>265</v>
      </c>
      <c r="D220" s="8" t="s">
        <v>239</v>
      </c>
      <c r="E220" s="8" t="s">
        <v>42</v>
      </c>
      <c r="F220" s="9" t="s">
        <v>66</v>
      </c>
      <c r="G220" s="9" t="s">
        <v>66</v>
      </c>
      <c r="H220" s="26" t="s">
        <v>240</v>
      </c>
      <c r="I220" s="8" t="s">
        <v>241</v>
      </c>
      <c r="J220" s="9">
        <v>45021</v>
      </c>
      <c r="K220" s="58"/>
      <c r="L220" s="16" t="s">
        <v>243</v>
      </c>
      <c r="M220" s="9">
        <f t="shared" si="39"/>
        <v>45031</v>
      </c>
      <c r="N220" s="8"/>
      <c r="O220" s="8" t="s">
        <v>47</v>
      </c>
      <c r="P220" s="9">
        <f t="shared" si="40"/>
        <v>45027</v>
      </c>
      <c r="Q220" s="9"/>
      <c r="R220" s="9">
        <f t="shared" si="41"/>
        <v>45030</v>
      </c>
      <c r="S220" s="9"/>
      <c r="T220" s="9">
        <f t="shared" si="42"/>
        <v>45033</v>
      </c>
      <c r="U220" s="9"/>
      <c r="V220" s="8"/>
      <c r="W220" s="17">
        <v>45073</v>
      </c>
      <c r="X220" s="17"/>
      <c r="Y220" s="8"/>
      <c r="Z220" s="17">
        <v>45077</v>
      </c>
      <c r="AA220" s="9"/>
      <c r="AB220" s="8"/>
      <c r="AC220" s="8"/>
      <c r="AD220" s="8"/>
      <c r="AE220" s="8"/>
      <c r="AF220" s="16"/>
    </row>
    <row r="221" spans="1:32" ht="15">
      <c r="A221" s="8">
        <v>217</v>
      </c>
      <c r="B221" s="55"/>
      <c r="C221" s="8" t="s">
        <v>266</v>
      </c>
      <c r="D221" s="8" t="s">
        <v>239</v>
      </c>
      <c r="E221" s="8" t="s">
        <v>42</v>
      </c>
      <c r="F221" s="9" t="s">
        <v>66</v>
      </c>
      <c r="G221" s="9" t="s">
        <v>66</v>
      </c>
      <c r="H221" s="26" t="s">
        <v>240</v>
      </c>
      <c r="I221" s="8" t="s">
        <v>241</v>
      </c>
      <c r="J221" s="9">
        <v>45021</v>
      </c>
      <c r="K221" s="58"/>
      <c r="L221" s="16" t="s">
        <v>243</v>
      </c>
      <c r="M221" s="9">
        <f t="shared" si="39"/>
        <v>45031</v>
      </c>
      <c r="N221" s="8"/>
      <c r="O221" s="8" t="s">
        <v>47</v>
      </c>
      <c r="P221" s="9">
        <f t="shared" si="40"/>
        <v>45027</v>
      </c>
      <c r="Q221" s="9"/>
      <c r="R221" s="9">
        <f t="shared" si="41"/>
        <v>45030</v>
      </c>
      <c r="S221" s="9"/>
      <c r="T221" s="9">
        <f t="shared" si="42"/>
        <v>45033</v>
      </c>
      <c r="U221" s="9"/>
      <c r="V221" s="8"/>
      <c r="W221" s="17">
        <v>45073</v>
      </c>
      <c r="X221" s="17"/>
      <c r="Y221" s="8"/>
      <c r="Z221" s="17">
        <v>45077</v>
      </c>
      <c r="AA221" s="9"/>
      <c r="AB221" s="8"/>
      <c r="AC221" s="8"/>
      <c r="AD221" s="8"/>
      <c r="AE221" s="8"/>
      <c r="AF221" s="16"/>
    </row>
    <row r="222" spans="1:32" ht="15" hidden="1">
      <c r="A222" s="8">
        <v>218</v>
      </c>
      <c r="B222" s="55" t="s">
        <v>267</v>
      </c>
      <c r="C222" s="24" t="s">
        <v>268</v>
      </c>
      <c r="D222" s="8"/>
      <c r="E222" s="8"/>
      <c r="F222" s="9"/>
      <c r="G222" s="9"/>
      <c r="H222" s="26"/>
      <c r="I222" s="8"/>
      <c r="J222" s="9"/>
      <c r="K222" s="15"/>
      <c r="L222" s="16"/>
      <c r="M222" s="9"/>
      <c r="N222" s="8"/>
      <c r="O222" s="8"/>
      <c r="P222" s="9"/>
      <c r="Q222" s="9"/>
      <c r="R222" s="9"/>
      <c r="S222" s="9"/>
      <c r="T222" s="9"/>
      <c r="U222" s="9"/>
      <c r="V222" s="8"/>
      <c r="W222" s="17"/>
      <c r="X222" s="17"/>
      <c r="Y222" s="8"/>
      <c r="Z222" s="17"/>
      <c r="AA222" s="9"/>
      <c r="AB222" s="8"/>
      <c r="AC222" s="8"/>
      <c r="AD222" s="8"/>
      <c r="AE222" s="8"/>
      <c r="AF222" s="16"/>
    </row>
    <row r="223" spans="1:32" ht="45">
      <c r="A223" s="8">
        <v>219</v>
      </c>
      <c r="B223" s="55"/>
      <c r="C223" s="27" t="s">
        <v>269</v>
      </c>
      <c r="D223" s="8" t="s">
        <v>270</v>
      </c>
      <c r="E223" s="8" t="s">
        <v>42</v>
      </c>
      <c r="F223" s="9" t="s">
        <v>66</v>
      </c>
      <c r="G223" s="9" t="s">
        <v>66</v>
      </c>
      <c r="H223" s="26" t="s">
        <v>240</v>
      </c>
      <c r="I223" s="8" t="s">
        <v>241</v>
      </c>
      <c r="J223" s="9">
        <v>45021</v>
      </c>
      <c r="K223" s="58" t="s">
        <v>271</v>
      </c>
      <c r="L223" s="16" t="s">
        <v>243</v>
      </c>
      <c r="M223" s="9">
        <f t="shared" ref="M223:M227" si="43">J223+10</f>
        <v>45031</v>
      </c>
      <c r="N223" s="8"/>
      <c r="O223" s="8" t="s">
        <v>47</v>
      </c>
      <c r="P223" s="9">
        <f t="shared" ref="P223:P227" si="44">J223+6</f>
        <v>45027</v>
      </c>
      <c r="Q223" s="9"/>
      <c r="R223" s="9">
        <f t="shared" ref="R223:R227" si="45">J223+9</f>
        <v>45030</v>
      </c>
      <c r="S223" s="9"/>
      <c r="T223" s="9">
        <f t="shared" ref="T223:T227" si="46">J223+12</f>
        <v>45033</v>
      </c>
      <c r="U223" s="9"/>
      <c r="V223" s="8"/>
      <c r="W223" s="17">
        <v>45073</v>
      </c>
      <c r="X223" s="17"/>
      <c r="Y223" s="8"/>
      <c r="Z223" s="17">
        <v>45077</v>
      </c>
      <c r="AA223" s="9"/>
      <c r="AB223" s="8"/>
      <c r="AC223" s="8"/>
      <c r="AD223" s="8"/>
      <c r="AE223" s="8"/>
      <c r="AF223" s="16"/>
    </row>
    <row r="224" spans="1:32" ht="45">
      <c r="A224" s="8">
        <v>220</v>
      </c>
      <c r="B224" s="55"/>
      <c r="C224" s="8" t="s">
        <v>272</v>
      </c>
      <c r="D224" s="8" t="s">
        <v>270</v>
      </c>
      <c r="E224" s="8" t="s">
        <v>42</v>
      </c>
      <c r="F224" s="9" t="s">
        <v>66</v>
      </c>
      <c r="G224" s="9" t="s">
        <v>66</v>
      </c>
      <c r="H224" s="26" t="s">
        <v>240</v>
      </c>
      <c r="I224" s="8" t="s">
        <v>241</v>
      </c>
      <c r="J224" s="9">
        <v>45021</v>
      </c>
      <c r="K224" s="58"/>
      <c r="L224" s="16" t="s">
        <v>243</v>
      </c>
      <c r="M224" s="9">
        <f t="shared" si="43"/>
        <v>45031</v>
      </c>
      <c r="N224" s="8"/>
      <c r="O224" s="8" t="s">
        <v>47</v>
      </c>
      <c r="P224" s="9">
        <f t="shared" si="44"/>
        <v>45027</v>
      </c>
      <c r="Q224" s="9"/>
      <c r="R224" s="9">
        <f t="shared" si="45"/>
        <v>45030</v>
      </c>
      <c r="S224" s="9"/>
      <c r="T224" s="9">
        <f t="shared" si="46"/>
        <v>45033</v>
      </c>
      <c r="U224" s="9"/>
      <c r="V224" s="8"/>
      <c r="W224" s="17">
        <v>45073</v>
      </c>
      <c r="X224" s="17"/>
      <c r="Y224" s="8"/>
      <c r="Z224" s="17">
        <v>45077</v>
      </c>
      <c r="AA224" s="9"/>
      <c r="AB224" s="8"/>
      <c r="AC224" s="8"/>
      <c r="AD224" s="8"/>
      <c r="AE224" s="8"/>
      <c r="AF224" s="16"/>
    </row>
    <row r="225" spans="1:32" ht="45">
      <c r="A225" s="8">
        <v>221</v>
      </c>
      <c r="B225" s="55"/>
      <c r="C225" s="8" t="s">
        <v>273</v>
      </c>
      <c r="D225" s="8" t="s">
        <v>270</v>
      </c>
      <c r="E225" s="8" t="s">
        <v>42</v>
      </c>
      <c r="F225" s="9" t="s">
        <v>66</v>
      </c>
      <c r="G225" s="9" t="s">
        <v>66</v>
      </c>
      <c r="H225" s="26" t="s">
        <v>240</v>
      </c>
      <c r="I225" s="8" t="s">
        <v>241</v>
      </c>
      <c r="J225" s="9">
        <v>45021</v>
      </c>
      <c r="K225" s="58"/>
      <c r="L225" s="16" t="s">
        <v>243</v>
      </c>
      <c r="M225" s="9">
        <f t="shared" si="43"/>
        <v>45031</v>
      </c>
      <c r="N225" s="8"/>
      <c r="O225" s="8" t="s">
        <v>47</v>
      </c>
      <c r="P225" s="9">
        <f t="shared" si="44"/>
        <v>45027</v>
      </c>
      <c r="Q225" s="9"/>
      <c r="R225" s="9">
        <f t="shared" si="45"/>
        <v>45030</v>
      </c>
      <c r="S225" s="9"/>
      <c r="T225" s="9">
        <f t="shared" si="46"/>
        <v>45033</v>
      </c>
      <c r="U225" s="9"/>
      <c r="V225" s="8"/>
      <c r="W225" s="17">
        <v>45073</v>
      </c>
      <c r="X225" s="17"/>
      <c r="Y225" s="8"/>
      <c r="Z225" s="17">
        <v>45077</v>
      </c>
      <c r="AA225" s="9"/>
      <c r="AB225" s="8"/>
      <c r="AC225" s="8"/>
      <c r="AD225" s="8"/>
      <c r="AE225" s="8"/>
      <c r="AF225" s="16"/>
    </row>
    <row r="226" spans="1:32" ht="45">
      <c r="A226" s="8">
        <v>222</v>
      </c>
      <c r="B226" s="55"/>
      <c r="C226" s="8" t="s">
        <v>274</v>
      </c>
      <c r="D226" s="8" t="s">
        <v>270</v>
      </c>
      <c r="E226" s="8" t="s">
        <v>42</v>
      </c>
      <c r="F226" s="9" t="s">
        <v>66</v>
      </c>
      <c r="G226" s="9" t="s">
        <v>66</v>
      </c>
      <c r="H226" s="26" t="s">
        <v>240</v>
      </c>
      <c r="I226" s="8" t="s">
        <v>241</v>
      </c>
      <c r="J226" s="9">
        <v>45021</v>
      </c>
      <c r="K226" s="58"/>
      <c r="L226" s="16" t="s">
        <v>243</v>
      </c>
      <c r="M226" s="9">
        <f t="shared" si="43"/>
        <v>45031</v>
      </c>
      <c r="N226" s="8"/>
      <c r="O226" s="8" t="s">
        <v>47</v>
      </c>
      <c r="P226" s="9">
        <f t="shared" si="44"/>
        <v>45027</v>
      </c>
      <c r="Q226" s="9"/>
      <c r="R226" s="9">
        <f t="shared" si="45"/>
        <v>45030</v>
      </c>
      <c r="S226" s="9"/>
      <c r="T226" s="9">
        <f t="shared" si="46"/>
        <v>45033</v>
      </c>
      <c r="U226" s="9"/>
      <c r="V226" s="8"/>
      <c r="W226" s="17">
        <v>45073</v>
      </c>
      <c r="X226" s="17"/>
      <c r="Y226" s="8"/>
      <c r="Z226" s="17">
        <v>45077</v>
      </c>
      <c r="AA226" s="9"/>
      <c r="AB226" s="8"/>
      <c r="AC226" s="8"/>
      <c r="AD226" s="8"/>
      <c r="AE226" s="8"/>
      <c r="AF226" s="16"/>
    </row>
    <row r="227" spans="1:32" ht="45">
      <c r="A227" s="8">
        <v>223</v>
      </c>
      <c r="B227" s="55"/>
      <c r="C227" s="8" t="s">
        <v>275</v>
      </c>
      <c r="D227" s="8" t="s">
        <v>270</v>
      </c>
      <c r="E227" s="8" t="s">
        <v>42</v>
      </c>
      <c r="F227" s="9" t="s">
        <v>66</v>
      </c>
      <c r="G227" s="9" t="s">
        <v>66</v>
      </c>
      <c r="H227" s="26" t="s">
        <v>240</v>
      </c>
      <c r="I227" s="8" t="s">
        <v>241</v>
      </c>
      <c r="J227" s="9">
        <v>45021</v>
      </c>
      <c r="K227" s="58"/>
      <c r="L227" s="16" t="s">
        <v>243</v>
      </c>
      <c r="M227" s="9">
        <f t="shared" si="43"/>
        <v>45031</v>
      </c>
      <c r="N227" s="8"/>
      <c r="O227" s="8" t="s">
        <v>47</v>
      </c>
      <c r="P227" s="9">
        <f t="shared" si="44"/>
        <v>45027</v>
      </c>
      <c r="Q227" s="9"/>
      <c r="R227" s="9">
        <f t="shared" si="45"/>
        <v>45030</v>
      </c>
      <c r="S227" s="9"/>
      <c r="T227" s="9">
        <f t="shared" si="46"/>
        <v>45033</v>
      </c>
      <c r="U227" s="9"/>
      <c r="V227" s="8"/>
      <c r="W227" s="17">
        <v>45073</v>
      </c>
      <c r="X227" s="17"/>
      <c r="Y227" s="8"/>
      <c r="Z227" s="17">
        <v>45077</v>
      </c>
      <c r="AA227" s="9"/>
      <c r="AB227" s="8"/>
      <c r="AC227" s="8"/>
      <c r="AD227" s="8"/>
      <c r="AE227" s="8"/>
      <c r="AF227" s="16"/>
    </row>
    <row r="228" spans="1:32" ht="15" hidden="1">
      <c r="A228" s="8">
        <v>224</v>
      </c>
      <c r="B228" s="55"/>
      <c r="C228" s="24" t="s">
        <v>276</v>
      </c>
      <c r="D228" s="8"/>
      <c r="E228" s="8"/>
      <c r="F228" s="9"/>
      <c r="G228" s="9"/>
      <c r="H228" s="26"/>
      <c r="I228" s="8"/>
      <c r="J228" s="9"/>
      <c r="K228" s="15"/>
      <c r="L228" s="16"/>
      <c r="M228" s="9"/>
      <c r="N228" s="8"/>
      <c r="O228" s="8"/>
      <c r="P228" s="9"/>
      <c r="Q228" s="9"/>
      <c r="R228" s="9"/>
      <c r="S228" s="9"/>
      <c r="T228" s="9"/>
      <c r="U228" s="9"/>
      <c r="V228" s="8"/>
      <c r="W228" s="17"/>
      <c r="X228" s="17"/>
      <c r="Y228" s="8"/>
      <c r="Z228" s="17"/>
      <c r="AA228" s="9"/>
      <c r="AB228" s="8"/>
      <c r="AC228" s="8"/>
      <c r="AD228" s="8"/>
      <c r="AE228" s="8"/>
      <c r="AF228" s="16"/>
    </row>
    <row r="229" spans="1:32" ht="45">
      <c r="A229" s="8">
        <v>225</v>
      </c>
      <c r="B229" s="55"/>
      <c r="C229" s="8" t="s">
        <v>277</v>
      </c>
      <c r="D229" s="8" t="s">
        <v>270</v>
      </c>
      <c r="E229" s="8" t="s">
        <v>42</v>
      </c>
      <c r="F229" s="9" t="s">
        <v>66</v>
      </c>
      <c r="G229" s="9" t="s">
        <v>66</v>
      </c>
      <c r="H229" s="26" t="s">
        <v>240</v>
      </c>
      <c r="I229" s="8" t="s">
        <v>241</v>
      </c>
      <c r="J229" s="9">
        <v>45021</v>
      </c>
      <c r="K229" s="58" t="s">
        <v>264</v>
      </c>
      <c r="L229" s="16" t="s">
        <v>278</v>
      </c>
      <c r="M229" s="9">
        <f t="shared" ref="M229:M238" si="47">J229+10</f>
        <v>45031</v>
      </c>
      <c r="N229" s="8"/>
      <c r="O229" s="8" t="s">
        <v>47</v>
      </c>
      <c r="P229" s="9">
        <f t="shared" ref="P229:P238" si="48">J229+6</f>
        <v>45027</v>
      </c>
      <c r="Q229" s="9"/>
      <c r="R229" s="9">
        <f t="shared" ref="R229:R238" si="49">J229+9</f>
        <v>45030</v>
      </c>
      <c r="S229" s="9"/>
      <c r="T229" s="9">
        <f t="shared" ref="T229:T238" si="50">J229+12</f>
        <v>45033</v>
      </c>
      <c r="U229" s="9"/>
      <c r="V229" s="8"/>
      <c r="W229" s="17">
        <v>45073</v>
      </c>
      <c r="X229" s="17"/>
      <c r="Y229" s="8"/>
      <c r="Z229" s="17">
        <v>45077</v>
      </c>
      <c r="AA229" s="9"/>
      <c r="AB229" s="8"/>
      <c r="AC229" s="8"/>
      <c r="AD229" s="8"/>
      <c r="AE229" s="8"/>
      <c r="AF229" s="16"/>
    </row>
    <row r="230" spans="1:32" ht="45">
      <c r="A230" s="8">
        <v>226</v>
      </c>
      <c r="B230" s="55"/>
      <c r="C230" s="27" t="s">
        <v>279</v>
      </c>
      <c r="D230" s="8" t="s">
        <v>270</v>
      </c>
      <c r="E230" s="8" t="s">
        <v>42</v>
      </c>
      <c r="F230" s="9" t="s">
        <v>66</v>
      </c>
      <c r="G230" s="9" t="s">
        <v>66</v>
      </c>
      <c r="H230" s="26" t="s">
        <v>240</v>
      </c>
      <c r="I230" s="8" t="s">
        <v>241</v>
      </c>
      <c r="J230" s="9">
        <v>45021</v>
      </c>
      <c r="K230" s="58"/>
      <c r="L230" s="16" t="s">
        <v>278</v>
      </c>
      <c r="M230" s="9">
        <f t="shared" si="47"/>
        <v>45031</v>
      </c>
      <c r="N230" s="8"/>
      <c r="O230" s="8" t="s">
        <v>47</v>
      </c>
      <c r="P230" s="9">
        <f t="shared" si="48"/>
        <v>45027</v>
      </c>
      <c r="Q230" s="9"/>
      <c r="R230" s="9">
        <f t="shared" si="49"/>
        <v>45030</v>
      </c>
      <c r="S230" s="9"/>
      <c r="T230" s="9">
        <f t="shared" si="50"/>
        <v>45033</v>
      </c>
      <c r="U230" s="9"/>
      <c r="V230" s="8"/>
      <c r="W230" s="17">
        <v>45073</v>
      </c>
      <c r="X230" s="17"/>
      <c r="Y230" s="8"/>
      <c r="Z230" s="17">
        <v>45077</v>
      </c>
      <c r="AA230" s="9"/>
      <c r="AB230" s="8"/>
      <c r="AC230" s="8"/>
      <c r="AD230" s="8"/>
      <c r="AE230" s="8"/>
      <c r="AF230" s="16"/>
    </row>
    <row r="231" spans="1:32" ht="45">
      <c r="A231" s="8">
        <v>227</v>
      </c>
      <c r="B231" s="55"/>
      <c r="C231" s="27" t="s">
        <v>280</v>
      </c>
      <c r="D231" s="8" t="s">
        <v>270</v>
      </c>
      <c r="E231" s="8" t="s">
        <v>42</v>
      </c>
      <c r="F231" s="9" t="s">
        <v>66</v>
      </c>
      <c r="G231" s="9" t="s">
        <v>66</v>
      </c>
      <c r="H231" s="26" t="s">
        <v>240</v>
      </c>
      <c r="I231" s="8" t="s">
        <v>241</v>
      </c>
      <c r="J231" s="9">
        <v>45021</v>
      </c>
      <c r="K231" s="58"/>
      <c r="L231" s="16" t="s">
        <v>278</v>
      </c>
      <c r="M231" s="9">
        <f t="shared" si="47"/>
        <v>45031</v>
      </c>
      <c r="N231" s="8"/>
      <c r="O231" s="8" t="s">
        <v>47</v>
      </c>
      <c r="P231" s="9">
        <f t="shared" si="48"/>
        <v>45027</v>
      </c>
      <c r="Q231" s="9"/>
      <c r="R231" s="9">
        <f t="shared" si="49"/>
        <v>45030</v>
      </c>
      <c r="S231" s="9"/>
      <c r="T231" s="9">
        <f t="shared" si="50"/>
        <v>45033</v>
      </c>
      <c r="U231" s="9"/>
      <c r="V231" s="8"/>
      <c r="W231" s="17">
        <v>45073</v>
      </c>
      <c r="X231" s="17"/>
      <c r="Y231" s="8"/>
      <c r="Z231" s="17">
        <v>45077</v>
      </c>
      <c r="AA231" s="9"/>
      <c r="AB231" s="8"/>
      <c r="AC231" s="8"/>
      <c r="AD231" s="8"/>
      <c r="AE231" s="8"/>
      <c r="AF231" s="16"/>
    </row>
    <row r="232" spans="1:32" ht="45">
      <c r="A232" s="8">
        <v>228</v>
      </c>
      <c r="B232" s="55"/>
      <c r="C232" s="27" t="s">
        <v>281</v>
      </c>
      <c r="D232" s="8" t="s">
        <v>270</v>
      </c>
      <c r="E232" s="8" t="s">
        <v>42</v>
      </c>
      <c r="F232" s="9" t="s">
        <v>66</v>
      </c>
      <c r="G232" s="9" t="s">
        <v>66</v>
      </c>
      <c r="H232" s="26" t="s">
        <v>240</v>
      </c>
      <c r="I232" s="8" t="s">
        <v>241</v>
      </c>
      <c r="J232" s="9">
        <v>45021</v>
      </c>
      <c r="K232" s="58"/>
      <c r="L232" s="16" t="s">
        <v>278</v>
      </c>
      <c r="M232" s="9">
        <f t="shared" si="47"/>
        <v>45031</v>
      </c>
      <c r="N232" s="8"/>
      <c r="O232" s="8" t="s">
        <v>47</v>
      </c>
      <c r="P232" s="9">
        <f t="shared" si="48"/>
        <v>45027</v>
      </c>
      <c r="Q232" s="9"/>
      <c r="R232" s="9">
        <f t="shared" si="49"/>
        <v>45030</v>
      </c>
      <c r="S232" s="9"/>
      <c r="T232" s="9">
        <f t="shared" si="50"/>
        <v>45033</v>
      </c>
      <c r="U232" s="9"/>
      <c r="V232" s="8"/>
      <c r="W232" s="17">
        <v>45073</v>
      </c>
      <c r="X232" s="17"/>
      <c r="Y232" s="8"/>
      <c r="Z232" s="17">
        <v>45077</v>
      </c>
      <c r="AA232" s="9"/>
      <c r="AB232" s="8"/>
      <c r="AC232" s="8"/>
      <c r="AD232" s="8"/>
      <c r="AE232" s="8"/>
      <c r="AF232" s="16"/>
    </row>
    <row r="233" spans="1:32" ht="45">
      <c r="A233" s="8">
        <v>229</v>
      </c>
      <c r="B233" s="55"/>
      <c r="C233" s="27" t="s">
        <v>282</v>
      </c>
      <c r="D233" s="8" t="s">
        <v>270</v>
      </c>
      <c r="E233" s="8" t="s">
        <v>42</v>
      </c>
      <c r="F233" s="9" t="s">
        <v>66</v>
      </c>
      <c r="G233" s="9" t="s">
        <v>66</v>
      </c>
      <c r="H233" s="26" t="s">
        <v>240</v>
      </c>
      <c r="I233" s="8" t="s">
        <v>241</v>
      </c>
      <c r="J233" s="9">
        <v>45021</v>
      </c>
      <c r="K233" s="58"/>
      <c r="L233" s="16" t="s">
        <v>278</v>
      </c>
      <c r="M233" s="9">
        <f t="shared" si="47"/>
        <v>45031</v>
      </c>
      <c r="N233" s="8"/>
      <c r="O233" s="8" t="s">
        <v>47</v>
      </c>
      <c r="P233" s="9">
        <f t="shared" si="48"/>
        <v>45027</v>
      </c>
      <c r="Q233" s="9"/>
      <c r="R233" s="9">
        <f t="shared" si="49"/>
        <v>45030</v>
      </c>
      <c r="S233" s="9"/>
      <c r="T233" s="9">
        <f t="shared" si="50"/>
        <v>45033</v>
      </c>
      <c r="U233" s="9"/>
      <c r="V233" s="8"/>
      <c r="W233" s="17">
        <v>45073</v>
      </c>
      <c r="X233" s="17"/>
      <c r="Y233" s="8"/>
      <c r="Z233" s="17">
        <v>45077</v>
      </c>
      <c r="AA233" s="9"/>
      <c r="AB233" s="8"/>
      <c r="AC233" s="8"/>
      <c r="AD233" s="8"/>
      <c r="AE233" s="8"/>
      <c r="AF233" s="16"/>
    </row>
    <row r="234" spans="1:32" ht="45">
      <c r="A234" s="8">
        <v>230</v>
      </c>
      <c r="B234" s="55"/>
      <c r="C234" s="27" t="s">
        <v>283</v>
      </c>
      <c r="D234" s="8" t="s">
        <v>270</v>
      </c>
      <c r="E234" s="8" t="s">
        <v>42</v>
      </c>
      <c r="F234" s="9" t="s">
        <v>66</v>
      </c>
      <c r="G234" s="9" t="s">
        <v>66</v>
      </c>
      <c r="H234" s="26" t="s">
        <v>240</v>
      </c>
      <c r="I234" s="8" t="s">
        <v>241</v>
      </c>
      <c r="J234" s="9">
        <v>45046</v>
      </c>
      <c r="K234" s="58" t="s">
        <v>284</v>
      </c>
      <c r="L234" s="16" t="s">
        <v>278</v>
      </c>
      <c r="M234" s="9">
        <f t="shared" si="47"/>
        <v>45056</v>
      </c>
      <c r="N234" s="8"/>
      <c r="O234" s="8" t="s">
        <v>47</v>
      </c>
      <c r="P234" s="9">
        <f t="shared" si="48"/>
        <v>45052</v>
      </c>
      <c r="Q234" s="9"/>
      <c r="R234" s="9">
        <f t="shared" si="49"/>
        <v>45055</v>
      </c>
      <c r="S234" s="9"/>
      <c r="T234" s="9">
        <f t="shared" si="50"/>
        <v>45058</v>
      </c>
      <c r="U234" s="9"/>
      <c r="V234" s="8"/>
      <c r="W234" s="17">
        <v>45073</v>
      </c>
      <c r="X234" s="17"/>
      <c r="Y234" s="8"/>
      <c r="Z234" s="17">
        <v>45077</v>
      </c>
      <c r="AA234" s="9"/>
      <c r="AB234" s="8"/>
      <c r="AC234" s="8"/>
      <c r="AD234" s="8"/>
      <c r="AE234" s="8"/>
      <c r="AF234" s="16"/>
    </row>
    <row r="235" spans="1:32" ht="45">
      <c r="A235" s="8">
        <v>231</v>
      </c>
      <c r="B235" s="55"/>
      <c r="C235" s="27" t="s">
        <v>285</v>
      </c>
      <c r="D235" s="8" t="s">
        <v>270</v>
      </c>
      <c r="E235" s="8" t="s">
        <v>42</v>
      </c>
      <c r="F235" s="9" t="s">
        <v>66</v>
      </c>
      <c r="G235" s="9" t="s">
        <v>66</v>
      </c>
      <c r="H235" s="26" t="s">
        <v>240</v>
      </c>
      <c r="I235" s="8" t="s">
        <v>241</v>
      </c>
      <c r="J235" s="9">
        <v>45046</v>
      </c>
      <c r="K235" s="58"/>
      <c r="L235" s="16" t="s">
        <v>278</v>
      </c>
      <c r="M235" s="9">
        <f t="shared" si="47"/>
        <v>45056</v>
      </c>
      <c r="N235" s="8"/>
      <c r="O235" s="8" t="s">
        <v>47</v>
      </c>
      <c r="P235" s="9">
        <f t="shared" si="48"/>
        <v>45052</v>
      </c>
      <c r="Q235" s="9"/>
      <c r="R235" s="9">
        <f t="shared" si="49"/>
        <v>45055</v>
      </c>
      <c r="S235" s="9"/>
      <c r="T235" s="9">
        <f t="shared" si="50"/>
        <v>45058</v>
      </c>
      <c r="U235" s="9"/>
      <c r="V235" s="8"/>
      <c r="W235" s="17">
        <v>45073</v>
      </c>
      <c r="X235" s="17"/>
      <c r="Y235" s="8"/>
      <c r="Z235" s="17">
        <v>45077</v>
      </c>
      <c r="AA235" s="9"/>
      <c r="AB235" s="8"/>
      <c r="AC235" s="8"/>
      <c r="AD235" s="8"/>
      <c r="AE235" s="8"/>
      <c r="AF235" s="16"/>
    </row>
    <row r="236" spans="1:32" ht="60">
      <c r="A236" s="8">
        <v>232</v>
      </c>
      <c r="B236" s="55"/>
      <c r="C236" s="27" t="s">
        <v>286</v>
      </c>
      <c r="D236" s="8" t="s">
        <v>270</v>
      </c>
      <c r="E236" s="8" t="s">
        <v>42</v>
      </c>
      <c r="F236" s="9" t="s">
        <v>66</v>
      </c>
      <c r="G236" s="9" t="s">
        <v>66</v>
      </c>
      <c r="H236" s="26" t="s">
        <v>240</v>
      </c>
      <c r="I236" s="8" t="s">
        <v>241</v>
      </c>
      <c r="J236" s="9" t="s">
        <v>287</v>
      </c>
      <c r="K236" s="15" t="s">
        <v>288</v>
      </c>
      <c r="L236" s="16" t="s">
        <v>278</v>
      </c>
      <c r="M236" s="9" t="e">
        <f t="shared" si="47"/>
        <v>#VALUE!</v>
      </c>
      <c r="N236" s="8"/>
      <c r="O236" s="8" t="s">
        <v>47</v>
      </c>
      <c r="P236" s="9" t="e">
        <f t="shared" si="48"/>
        <v>#VALUE!</v>
      </c>
      <c r="Q236" s="9"/>
      <c r="R236" s="9" t="e">
        <f t="shared" si="49"/>
        <v>#VALUE!</v>
      </c>
      <c r="S236" s="9"/>
      <c r="T236" s="9" t="e">
        <f t="shared" si="50"/>
        <v>#VALUE!</v>
      </c>
      <c r="U236" s="9"/>
      <c r="V236" s="8"/>
      <c r="W236" s="17">
        <v>45073</v>
      </c>
      <c r="X236" s="17"/>
      <c r="Y236" s="8"/>
      <c r="Z236" s="17">
        <v>45077</v>
      </c>
      <c r="AA236" s="9"/>
      <c r="AB236" s="8"/>
      <c r="AC236" s="8"/>
      <c r="AD236" s="8"/>
      <c r="AE236" s="8"/>
      <c r="AF236" s="16"/>
    </row>
    <row r="237" spans="1:32" ht="45">
      <c r="A237" s="8">
        <v>233</v>
      </c>
      <c r="B237" s="55"/>
      <c r="C237" s="28" t="s">
        <v>289</v>
      </c>
      <c r="D237" s="8" t="s">
        <v>270</v>
      </c>
      <c r="E237" s="8" t="s">
        <v>42</v>
      </c>
      <c r="F237" s="9" t="s">
        <v>66</v>
      </c>
      <c r="G237" s="9" t="s">
        <v>66</v>
      </c>
      <c r="H237" s="26" t="s">
        <v>240</v>
      </c>
      <c r="I237" s="8" t="s">
        <v>241</v>
      </c>
      <c r="J237" s="9">
        <v>45046</v>
      </c>
      <c r="K237" s="15" t="s">
        <v>290</v>
      </c>
      <c r="L237" s="16" t="s">
        <v>278</v>
      </c>
      <c r="M237" s="9">
        <f t="shared" si="47"/>
        <v>45056</v>
      </c>
      <c r="N237" s="8"/>
      <c r="O237" s="8" t="s">
        <v>47</v>
      </c>
      <c r="P237" s="9">
        <f t="shared" si="48"/>
        <v>45052</v>
      </c>
      <c r="Q237" s="9"/>
      <c r="R237" s="9">
        <f t="shared" si="49"/>
        <v>45055</v>
      </c>
      <c r="S237" s="9"/>
      <c r="T237" s="9">
        <f t="shared" si="50"/>
        <v>45058</v>
      </c>
      <c r="U237" s="9"/>
      <c r="V237" s="8"/>
      <c r="W237" s="17">
        <v>45073</v>
      </c>
      <c r="X237" s="17"/>
      <c r="Y237" s="8"/>
      <c r="Z237" s="17">
        <v>45077</v>
      </c>
      <c r="AA237" s="9"/>
      <c r="AB237" s="8"/>
      <c r="AC237" s="8"/>
      <c r="AD237" s="8"/>
      <c r="AE237" s="8"/>
      <c r="AF237" s="16"/>
    </row>
    <row r="238" spans="1:32" ht="45">
      <c r="A238" s="8">
        <v>234</v>
      </c>
      <c r="B238" s="55"/>
      <c r="C238" s="28" t="s">
        <v>291</v>
      </c>
      <c r="D238" s="8" t="s">
        <v>270</v>
      </c>
      <c r="E238" s="8" t="s">
        <v>42</v>
      </c>
      <c r="F238" s="9" t="s">
        <v>66</v>
      </c>
      <c r="G238" s="9" t="s">
        <v>66</v>
      </c>
      <c r="H238" s="26" t="s">
        <v>240</v>
      </c>
      <c r="I238" s="8" t="s">
        <v>241</v>
      </c>
      <c r="J238" s="9">
        <v>45021</v>
      </c>
      <c r="K238" s="15" t="s">
        <v>264</v>
      </c>
      <c r="L238" s="16" t="s">
        <v>278</v>
      </c>
      <c r="M238" s="9">
        <f t="shared" si="47"/>
        <v>45031</v>
      </c>
      <c r="N238" s="8"/>
      <c r="O238" s="8" t="s">
        <v>47</v>
      </c>
      <c r="P238" s="9">
        <f t="shared" si="48"/>
        <v>45027</v>
      </c>
      <c r="Q238" s="9"/>
      <c r="R238" s="9">
        <f t="shared" si="49"/>
        <v>45030</v>
      </c>
      <c r="S238" s="9"/>
      <c r="T238" s="9">
        <f t="shared" si="50"/>
        <v>45033</v>
      </c>
      <c r="U238" s="9"/>
      <c r="V238" s="8"/>
      <c r="W238" s="17">
        <v>45073</v>
      </c>
      <c r="X238" s="17"/>
      <c r="Y238" s="8"/>
      <c r="Z238" s="17">
        <v>45077</v>
      </c>
      <c r="AA238" s="9"/>
      <c r="AB238" s="8"/>
      <c r="AC238" s="8"/>
      <c r="AD238" s="8"/>
      <c r="AE238" s="8"/>
      <c r="AF238" s="16"/>
    </row>
    <row r="239" spans="1:32" ht="15" hidden="1">
      <c r="A239" s="8">
        <v>235</v>
      </c>
      <c r="B239" s="55"/>
      <c r="C239" s="29" t="s">
        <v>292</v>
      </c>
      <c r="D239" s="8"/>
      <c r="E239" s="8"/>
      <c r="F239" s="9"/>
      <c r="G239" s="9"/>
      <c r="H239" s="26"/>
      <c r="I239" s="8"/>
      <c r="J239" s="9"/>
      <c r="K239" s="15"/>
      <c r="L239" s="16"/>
      <c r="M239" s="9"/>
      <c r="N239" s="8"/>
      <c r="O239" s="8"/>
      <c r="P239" s="9"/>
      <c r="Q239" s="9"/>
      <c r="R239" s="9"/>
      <c r="S239" s="9"/>
      <c r="T239" s="9"/>
      <c r="U239" s="9"/>
      <c r="V239" s="8"/>
      <c r="W239" s="17"/>
      <c r="X239" s="17"/>
      <c r="Y239" s="8"/>
      <c r="Z239" s="17"/>
      <c r="AA239" s="9"/>
      <c r="AB239" s="8"/>
      <c r="AC239" s="8"/>
      <c r="AD239" s="8"/>
      <c r="AE239" s="8"/>
      <c r="AF239" s="16"/>
    </row>
    <row r="240" spans="1:32" ht="45">
      <c r="A240" s="8">
        <v>236</v>
      </c>
      <c r="B240" s="55"/>
      <c r="C240" s="59" t="s">
        <v>293</v>
      </c>
      <c r="D240" s="59" t="s">
        <v>270</v>
      </c>
      <c r="E240" s="59" t="s">
        <v>42</v>
      </c>
      <c r="F240" s="60" t="s">
        <v>66</v>
      </c>
      <c r="G240" s="60" t="s">
        <v>66</v>
      </c>
      <c r="H240" s="61" t="s">
        <v>240</v>
      </c>
      <c r="I240" s="59" t="s">
        <v>241</v>
      </c>
      <c r="J240" s="60" t="s">
        <v>726</v>
      </c>
      <c r="K240" s="15" t="s">
        <v>728</v>
      </c>
      <c r="L240" s="16" t="s">
        <v>278</v>
      </c>
      <c r="M240" s="9" t="e">
        <f t="shared" ref="M240:M242" si="51">J240+10</f>
        <v>#VALUE!</v>
      </c>
      <c r="N240" s="8"/>
      <c r="O240" s="8" t="s">
        <v>47</v>
      </c>
      <c r="P240" s="9" t="e">
        <f t="shared" ref="P240:P242" si="52">J240+6</f>
        <v>#VALUE!</v>
      </c>
      <c r="Q240" s="9"/>
      <c r="R240" s="9" t="e">
        <f t="shared" ref="R240:R242" si="53">J240+9</f>
        <v>#VALUE!</v>
      </c>
      <c r="S240" s="9"/>
      <c r="T240" s="9" t="e">
        <f t="shared" ref="T240:T242" si="54">J240+12</f>
        <v>#VALUE!</v>
      </c>
      <c r="U240" s="9"/>
      <c r="V240" s="8"/>
      <c r="W240" s="17">
        <v>45073</v>
      </c>
      <c r="X240" s="17"/>
      <c r="Y240" s="8"/>
      <c r="Z240" s="17">
        <v>45077</v>
      </c>
      <c r="AA240" s="9"/>
      <c r="AB240" s="8"/>
      <c r="AC240" s="8"/>
      <c r="AD240" s="8"/>
      <c r="AE240" s="8"/>
      <c r="AF240" s="16"/>
    </row>
    <row r="241" spans="1:32" ht="45">
      <c r="A241" s="8">
        <v>237</v>
      </c>
      <c r="B241" s="55"/>
      <c r="C241" s="27" t="s">
        <v>294</v>
      </c>
      <c r="D241" s="8" t="s">
        <v>270</v>
      </c>
      <c r="E241" s="8" t="s">
        <v>42</v>
      </c>
      <c r="F241" s="9" t="s">
        <v>66</v>
      </c>
      <c r="G241" s="9" t="s">
        <v>66</v>
      </c>
      <c r="H241" s="26" t="s">
        <v>240</v>
      </c>
      <c r="I241" s="8" t="s">
        <v>241</v>
      </c>
      <c r="J241" s="9">
        <v>45046</v>
      </c>
      <c r="K241" s="58" t="s">
        <v>295</v>
      </c>
      <c r="L241" s="16" t="s">
        <v>278</v>
      </c>
      <c r="M241" s="9">
        <f t="shared" si="51"/>
        <v>45056</v>
      </c>
      <c r="N241" s="8"/>
      <c r="O241" s="8" t="s">
        <v>47</v>
      </c>
      <c r="P241" s="9">
        <f t="shared" si="52"/>
        <v>45052</v>
      </c>
      <c r="Q241" s="9"/>
      <c r="R241" s="9">
        <f t="shared" si="53"/>
        <v>45055</v>
      </c>
      <c r="S241" s="9"/>
      <c r="T241" s="9">
        <f t="shared" si="54"/>
        <v>45058</v>
      </c>
      <c r="U241" s="9"/>
      <c r="V241" s="8"/>
      <c r="W241" s="17">
        <v>45073</v>
      </c>
      <c r="X241" s="17"/>
      <c r="Y241" s="8"/>
      <c r="Z241" s="17">
        <v>45077</v>
      </c>
      <c r="AA241" s="9"/>
      <c r="AB241" s="8"/>
      <c r="AC241" s="8"/>
      <c r="AD241" s="8"/>
      <c r="AE241" s="8"/>
      <c r="AF241" s="16"/>
    </row>
    <row r="242" spans="1:32" ht="45">
      <c r="A242" s="8">
        <v>238</v>
      </c>
      <c r="B242" s="55"/>
      <c r="C242" s="8" t="s">
        <v>296</v>
      </c>
      <c r="D242" s="8" t="s">
        <v>270</v>
      </c>
      <c r="E242" s="8" t="s">
        <v>42</v>
      </c>
      <c r="F242" s="9" t="s">
        <v>66</v>
      </c>
      <c r="G242" s="9" t="s">
        <v>66</v>
      </c>
      <c r="H242" s="26" t="s">
        <v>240</v>
      </c>
      <c r="I242" s="8" t="s">
        <v>241</v>
      </c>
      <c r="J242" s="9">
        <v>45046</v>
      </c>
      <c r="K242" s="58"/>
      <c r="L242" s="16" t="s">
        <v>278</v>
      </c>
      <c r="M242" s="9">
        <f t="shared" si="51"/>
        <v>45056</v>
      </c>
      <c r="N242" s="8"/>
      <c r="O242" s="8" t="s">
        <v>47</v>
      </c>
      <c r="P242" s="9">
        <f t="shared" si="52"/>
        <v>45052</v>
      </c>
      <c r="Q242" s="9"/>
      <c r="R242" s="9">
        <f t="shared" si="53"/>
        <v>45055</v>
      </c>
      <c r="S242" s="9"/>
      <c r="T242" s="9">
        <f t="shared" si="54"/>
        <v>45058</v>
      </c>
      <c r="U242" s="9"/>
      <c r="V242" s="8"/>
      <c r="W242" s="17">
        <v>45073</v>
      </c>
      <c r="X242" s="17"/>
      <c r="Y242" s="8"/>
      <c r="Z242" s="17">
        <v>45077</v>
      </c>
      <c r="AA242" s="9"/>
      <c r="AB242" s="8"/>
      <c r="AC242" s="8"/>
      <c r="AD242" s="8"/>
      <c r="AE242" s="8"/>
      <c r="AF242" s="16"/>
    </row>
    <row r="243" spans="1:32" ht="15" hidden="1">
      <c r="A243" s="8">
        <v>239</v>
      </c>
      <c r="B243" s="55"/>
      <c r="C243" s="24" t="s">
        <v>297</v>
      </c>
      <c r="D243" s="8"/>
      <c r="E243" s="8"/>
      <c r="F243" s="9"/>
      <c r="G243" s="9"/>
      <c r="H243" s="26"/>
      <c r="I243" s="8"/>
      <c r="J243" s="9"/>
      <c r="K243" s="15"/>
      <c r="L243" s="16"/>
      <c r="M243" s="9"/>
      <c r="N243" s="8"/>
      <c r="O243" s="8"/>
      <c r="P243" s="9"/>
      <c r="Q243" s="9"/>
      <c r="R243" s="9"/>
      <c r="S243" s="9"/>
      <c r="T243" s="9"/>
      <c r="U243" s="9"/>
      <c r="V243" s="8"/>
      <c r="W243" s="17"/>
      <c r="X243" s="17"/>
      <c r="Y243" s="8"/>
      <c r="Z243" s="17"/>
      <c r="AA243" s="9"/>
      <c r="AB243" s="8"/>
      <c r="AC243" s="8"/>
      <c r="AD243" s="8"/>
      <c r="AE243" s="8"/>
      <c r="AF243" s="16"/>
    </row>
    <row r="244" spans="1:32" ht="45">
      <c r="A244" s="8">
        <v>240</v>
      </c>
      <c r="B244" s="55"/>
      <c r="C244" s="8" t="s">
        <v>298</v>
      </c>
      <c r="D244" s="8" t="s">
        <v>270</v>
      </c>
      <c r="E244" s="8" t="s">
        <v>42</v>
      </c>
      <c r="F244" s="9" t="s">
        <v>66</v>
      </c>
      <c r="G244" s="9" t="s">
        <v>66</v>
      </c>
      <c r="H244" s="26" t="s">
        <v>240</v>
      </c>
      <c r="I244" s="8" t="s">
        <v>241</v>
      </c>
      <c r="J244" s="9">
        <v>45046</v>
      </c>
      <c r="K244" s="15" t="s">
        <v>299</v>
      </c>
      <c r="L244" s="16" t="s">
        <v>278</v>
      </c>
      <c r="M244" s="9">
        <f t="shared" ref="M244:M246" si="55">J244+10</f>
        <v>45056</v>
      </c>
      <c r="N244" s="8"/>
      <c r="O244" s="8" t="s">
        <v>47</v>
      </c>
      <c r="P244" s="9">
        <f t="shared" ref="P244:P246" si="56">J244+6</f>
        <v>45052</v>
      </c>
      <c r="Q244" s="9"/>
      <c r="R244" s="9">
        <f t="shared" ref="R244:R246" si="57">J244+9</f>
        <v>45055</v>
      </c>
      <c r="S244" s="9"/>
      <c r="T244" s="9">
        <f t="shared" ref="T244:T246" si="58">J244+12</f>
        <v>45058</v>
      </c>
      <c r="U244" s="9"/>
      <c r="V244" s="8"/>
      <c r="W244" s="17">
        <v>45073</v>
      </c>
      <c r="X244" s="17"/>
      <c r="Y244" s="8"/>
      <c r="Z244" s="17">
        <v>45077</v>
      </c>
      <c r="AA244" s="9"/>
      <c r="AB244" s="8"/>
      <c r="AC244" s="8"/>
      <c r="AD244" s="8"/>
      <c r="AE244" s="8"/>
      <c r="AF244" s="16"/>
    </row>
    <row r="245" spans="1:32" ht="45">
      <c r="A245" s="8">
        <v>241</v>
      </c>
      <c r="B245" s="55"/>
      <c r="C245" s="8" t="s">
        <v>300</v>
      </c>
      <c r="D245" s="8" t="s">
        <v>270</v>
      </c>
      <c r="E245" s="8" t="s">
        <v>42</v>
      </c>
      <c r="F245" s="9" t="s">
        <v>66</v>
      </c>
      <c r="G245" s="9" t="s">
        <v>66</v>
      </c>
      <c r="H245" s="26" t="s">
        <v>240</v>
      </c>
      <c r="I245" s="8" t="s">
        <v>241</v>
      </c>
      <c r="J245" s="9">
        <v>45046</v>
      </c>
      <c r="K245" s="58" t="s">
        <v>295</v>
      </c>
      <c r="L245" s="16" t="s">
        <v>278</v>
      </c>
      <c r="M245" s="9">
        <f t="shared" si="55"/>
        <v>45056</v>
      </c>
      <c r="N245" s="8"/>
      <c r="O245" s="8" t="s">
        <v>47</v>
      </c>
      <c r="P245" s="9">
        <f t="shared" si="56"/>
        <v>45052</v>
      </c>
      <c r="Q245" s="9"/>
      <c r="R245" s="9">
        <f t="shared" si="57"/>
        <v>45055</v>
      </c>
      <c r="S245" s="9"/>
      <c r="T245" s="9">
        <f t="shared" si="58"/>
        <v>45058</v>
      </c>
      <c r="U245" s="9"/>
      <c r="V245" s="8"/>
      <c r="W245" s="17">
        <v>45073</v>
      </c>
      <c r="X245" s="17"/>
      <c r="Y245" s="8"/>
      <c r="Z245" s="17">
        <v>45077</v>
      </c>
      <c r="AA245" s="9"/>
      <c r="AB245" s="8"/>
      <c r="AC245" s="8"/>
      <c r="AD245" s="8"/>
      <c r="AE245" s="8"/>
      <c r="AF245" s="16"/>
    </row>
    <row r="246" spans="1:32" ht="45">
      <c r="A246" s="8">
        <v>242</v>
      </c>
      <c r="B246" s="55"/>
      <c r="C246" s="8" t="s">
        <v>301</v>
      </c>
      <c r="D246" s="8" t="s">
        <v>270</v>
      </c>
      <c r="E246" s="8" t="s">
        <v>42</v>
      </c>
      <c r="F246" s="9" t="s">
        <v>66</v>
      </c>
      <c r="G246" s="9" t="s">
        <v>66</v>
      </c>
      <c r="H246" s="26" t="s">
        <v>240</v>
      </c>
      <c r="I246" s="8" t="s">
        <v>241</v>
      </c>
      <c r="J246" s="9">
        <v>45046</v>
      </c>
      <c r="K246" s="58"/>
      <c r="L246" s="16" t="s">
        <v>278</v>
      </c>
      <c r="M246" s="9">
        <f t="shared" si="55"/>
        <v>45056</v>
      </c>
      <c r="N246" s="8"/>
      <c r="O246" s="8" t="s">
        <v>47</v>
      </c>
      <c r="P246" s="9">
        <f t="shared" si="56"/>
        <v>45052</v>
      </c>
      <c r="Q246" s="9"/>
      <c r="R246" s="9">
        <f t="shared" si="57"/>
        <v>45055</v>
      </c>
      <c r="S246" s="9"/>
      <c r="T246" s="9">
        <f t="shared" si="58"/>
        <v>45058</v>
      </c>
      <c r="U246" s="9"/>
      <c r="V246" s="8"/>
      <c r="W246" s="17">
        <v>45073</v>
      </c>
      <c r="X246" s="17"/>
      <c r="Y246" s="8"/>
      <c r="Z246" s="17">
        <v>45077</v>
      </c>
      <c r="AA246" s="9"/>
      <c r="AB246" s="8"/>
      <c r="AC246" s="8"/>
      <c r="AD246" s="8"/>
      <c r="AE246" s="8"/>
      <c r="AF246" s="16"/>
    </row>
    <row r="247" spans="1:32" ht="15" hidden="1">
      <c r="A247" s="8">
        <v>243</v>
      </c>
      <c r="B247" s="55"/>
      <c r="C247" s="24" t="s">
        <v>302</v>
      </c>
      <c r="D247" s="8"/>
      <c r="E247" s="8"/>
      <c r="F247" s="9"/>
      <c r="G247" s="9"/>
      <c r="H247" s="26"/>
      <c r="I247" s="8"/>
      <c r="J247" s="9"/>
      <c r="K247" s="58"/>
      <c r="L247" s="16"/>
      <c r="M247" s="9"/>
      <c r="N247" s="8"/>
      <c r="O247" s="8"/>
      <c r="P247" s="9"/>
      <c r="Q247" s="9"/>
      <c r="R247" s="9"/>
      <c r="S247" s="9"/>
      <c r="T247" s="9"/>
      <c r="U247" s="9"/>
      <c r="V247" s="8"/>
      <c r="W247" s="17"/>
      <c r="X247" s="17"/>
      <c r="Y247" s="8"/>
      <c r="Z247" s="17"/>
      <c r="AA247" s="9"/>
      <c r="AB247" s="8"/>
      <c r="AC247" s="8"/>
      <c r="AD247" s="8"/>
      <c r="AE247" s="8"/>
      <c r="AF247" s="16"/>
    </row>
    <row r="248" spans="1:32" ht="45">
      <c r="A248" s="8">
        <v>244</v>
      </c>
      <c r="B248" s="55"/>
      <c r="C248" s="8" t="s">
        <v>303</v>
      </c>
      <c r="D248" s="8" t="s">
        <v>270</v>
      </c>
      <c r="E248" s="8" t="s">
        <v>42</v>
      </c>
      <c r="F248" s="9" t="s">
        <v>66</v>
      </c>
      <c r="G248" s="9" t="s">
        <v>66</v>
      </c>
      <c r="H248" s="26" t="s">
        <v>240</v>
      </c>
      <c r="I248" s="8" t="s">
        <v>241</v>
      </c>
      <c r="J248" s="9">
        <v>45046</v>
      </c>
      <c r="K248" s="58"/>
      <c r="L248" s="16" t="s">
        <v>278</v>
      </c>
      <c r="M248" s="9">
        <f t="shared" ref="M248:M250" si="59">J248+10</f>
        <v>45056</v>
      </c>
      <c r="N248" s="8"/>
      <c r="O248" s="8" t="s">
        <v>47</v>
      </c>
      <c r="P248" s="9">
        <f t="shared" ref="P248:P250" si="60">J248+6</f>
        <v>45052</v>
      </c>
      <c r="Q248" s="9"/>
      <c r="R248" s="9">
        <f t="shared" ref="R248:R250" si="61">J248+9</f>
        <v>45055</v>
      </c>
      <c r="S248" s="9"/>
      <c r="T248" s="9">
        <f t="shared" ref="T248:T250" si="62">J248+12</f>
        <v>45058</v>
      </c>
      <c r="U248" s="9"/>
      <c r="V248" s="8"/>
      <c r="W248" s="17">
        <v>45073</v>
      </c>
      <c r="X248" s="17"/>
      <c r="Y248" s="8"/>
      <c r="Z248" s="17">
        <v>45077</v>
      </c>
      <c r="AA248" s="9"/>
      <c r="AB248" s="8"/>
      <c r="AC248" s="8"/>
      <c r="AD248" s="8"/>
      <c r="AE248" s="8"/>
      <c r="AF248" s="16"/>
    </row>
    <row r="249" spans="1:32" ht="45">
      <c r="A249" s="8">
        <v>245</v>
      </c>
      <c r="B249" s="55"/>
      <c r="C249" s="8" t="s">
        <v>304</v>
      </c>
      <c r="D249" s="8" t="s">
        <v>270</v>
      </c>
      <c r="E249" s="8" t="s">
        <v>42</v>
      </c>
      <c r="F249" s="9" t="s">
        <v>66</v>
      </c>
      <c r="G249" s="9" t="s">
        <v>66</v>
      </c>
      <c r="H249" s="26" t="s">
        <v>240</v>
      </c>
      <c r="I249" s="8" t="s">
        <v>241</v>
      </c>
      <c r="J249" s="9">
        <v>45046</v>
      </c>
      <c r="K249" s="58"/>
      <c r="L249" s="16" t="s">
        <v>278</v>
      </c>
      <c r="M249" s="9">
        <f t="shared" si="59"/>
        <v>45056</v>
      </c>
      <c r="N249" s="8"/>
      <c r="O249" s="8" t="s">
        <v>47</v>
      </c>
      <c r="P249" s="9">
        <f t="shared" si="60"/>
        <v>45052</v>
      </c>
      <c r="Q249" s="9"/>
      <c r="R249" s="9">
        <f t="shared" si="61"/>
        <v>45055</v>
      </c>
      <c r="S249" s="9"/>
      <c r="T249" s="9">
        <f t="shared" si="62"/>
        <v>45058</v>
      </c>
      <c r="U249" s="9"/>
      <c r="V249" s="8"/>
      <c r="W249" s="17">
        <v>45073</v>
      </c>
      <c r="X249" s="17"/>
      <c r="Y249" s="8"/>
      <c r="Z249" s="17">
        <v>45077</v>
      </c>
      <c r="AA249" s="9"/>
      <c r="AB249" s="8"/>
      <c r="AC249" s="8"/>
      <c r="AD249" s="8"/>
      <c r="AE249" s="8"/>
      <c r="AF249" s="16"/>
    </row>
    <row r="250" spans="1:32" ht="45">
      <c r="A250" s="8">
        <v>246</v>
      </c>
      <c r="B250" s="55"/>
      <c r="C250" s="8" t="s">
        <v>301</v>
      </c>
      <c r="D250" s="8" t="s">
        <v>270</v>
      </c>
      <c r="E250" s="8" t="s">
        <v>42</v>
      </c>
      <c r="F250" s="9" t="s">
        <v>66</v>
      </c>
      <c r="G250" s="9" t="s">
        <v>66</v>
      </c>
      <c r="H250" s="26" t="s">
        <v>240</v>
      </c>
      <c r="I250" s="8" t="s">
        <v>241</v>
      </c>
      <c r="J250" s="9">
        <v>45046</v>
      </c>
      <c r="K250" s="58"/>
      <c r="L250" s="16" t="s">
        <v>278</v>
      </c>
      <c r="M250" s="9">
        <f t="shared" si="59"/>
        <v>45056</v>
      </c>
      <c r="N250" s="8"/>
      <c r="O250" s="8" t="s">
        <v>47</v>
      </c>
      <c r="P250" s="9">
        <f t="shared" si="60"/>
        <v>45052</v>
      </c>
      <c r="Q250" s="9"/>
      <c r="R250" s="9">
        <f t="shared" si="61"/>
        <v>45055</v>
      </c>
      <c r="S250" s="9"/>
      <c r="T250" s="9">
        <f t="shared" si="62"/>
        <v>45058</v>
      </c>
      <c r="U250" s="9"/>
      <c r="V250" s="8"/>
      <c r="W250" s="17">
        <v>45073</v>
      </c>
      <c r="X250" s="17"/>
      <c r="Y250" s="8"/>
      <c r="Z250" s="17">
        <v>45077</v>
      </c>
      <c r="AA250" s="9"/>
      <c r="AB250" s="8"/>
      <c r="AC250" s="8"/>
      <c r="AD250" s="8"/>
      <c r="AE250" s="8"/>
      <c r="AF250" s="16"/>
    </row>
    <row r="251" spans="1:32" ht="15" hidden="1">
      <c r="A251" s="8">
        <v>247</v>
      </c>
      <c r="B251" s="55"/>
      <c r="C251" s="24" t="s">
        <v>305</v>
      </c>
      <c r="D251" s="8"/>
      <c r="E251" s="8"/>
      <c r="F251" s="9"/>
      <c r="G251" s="9"/>
      <c r="H251" s="26"/>
      <c r="I251" s="8"/>
      <c r="J251" s="9"/>
      <c r="K251" s="15"/>
      <c r="L251" s="16"/>
      <c r="M251" s="9"/>
      <c r="N251" s="8"/>
      <c r="O251" s="8"/>
      <c r="P251" s="9"/>
      <c r="Q251" s="9"/>
      <c r="R251" s="9"/>
      <c r="S251" s="9"/>
      <c r="T251" s="9"/>
      <c r="U251" s="9"/>
      <c r="V251" s="8"/>
      <c r="W251" s="17"/>
      <c r="X251" s="17"/>
      <c r="Y251" s="8"/>
      <c r="Z251" s="17"/>
      <c r="AA251" s="9"/>
      <c r="AB251" s="8"/>
      <c r="AC251" s="8"/>
      <c r="AD251" s="8"/>
      <c r="AE251" s="8"/>
      <c r="AF251" s="16"/>
    </row>
    <row r="252" spans="1:32" ht="45">
      <c r="A252" s="8">
        <v>248</v>
      </c>
      <c r="B252" s="55"/>
      <c r="C252" s="27" t="s">
        <v>306</v>
      </c>
      <c r="D252" s="8" t="s">
        <v>270</v>
      </c>
      <c r="E252" s="8" t="s">
        <v>42</v>
      </c>
      <c r="F252" s="9" t="s">
        <v>66</v>
      </c>
      <c r="G252" s="9" t="s">
        <v>66</v>
      </c>
      <c r="H252" s="26" t="s">
        <v>240</v>
      </c>
      <c r="I252" s="8" t="s">
        <v>241</v>
      </c>
      <c r="J252" s="9">
        <v>45021</v>
      </c>
      <c r="K252" s="15" t="s">
        <v>307</v>
      </c>
      <c r="L252" s="16" t="s">
        <v>278</v>
      </c>
      <c r="M252" s="9">
        <f t="shared" ref="M252:M256" si="63">J252+10</f>
        <v>45031</v>
      </c>
      <c r="N252" s="8"/>
      <c r="O252" s="8" t="s">
        <v>47</v>
      </c>
      <c r="P252" s="9">
        <f t="shared" ref="P252:P256" si="64">J252+6</f>
        <v>45027</v>
      </c>
      <c r="Q252" s="9"/>
      <c r="R252" s="9">
        <f t="shared" ref="R252:R256" si="65">J252+9</f>
        <v>45030</v>
      </c>
      <c r="S252" s="9"/>
      <c r="T252" s="9">
        <f t="shared" ref="T252:T256" si="66">J252+12</f>
        <v>45033</v>
      </c>
      <c r="U252" s="9"/>
      <c r="V252" s="8"/>
      <c r="W252" s="17">
        <v>45073</v>
      </c>
      <c r="X252" s="17"/>
      <c r="Y252" s="8"/>
      <c r="Z252" s="17">
        <v>45077</v>
      </c>
      <c r="AA252" s="9"/>
      <c r="AB252" s="8"/>
      <c r="AC252" s="8"/>
      <c r="AD252" s="8"/>
      <c r="AE252" s="8"/>
      <c r="AF252" s="16"/>
    </row>
    <row r="253" spans="1:32" ht="45">
      <c r="A253" s="8">
        <v>249</v>
      </c>
      <c r="B253" s="55"/>
      <c r="C253" s="27" t="s">
        <v>308</v>
      </c>
      <c r="D253" s="8" t="s">
        <v>270</v>
      </c>
      <c r="E253" s="8" t="s">
        <v>42</v>
      </c>
      <c r="F253" s="9" t="s">
        <v>66</v>
      </c>
      <c r="G253" s="9" t="s">
        <v>66</v>
      </c>
      <c r="H253" s="6" t="s">
        <v>309</v>
      </c>
      <c r="I253" s="8" t="s">
        <v>241</v>
      </c>
      <c r="J253" s="9" t="s">
        <v>310</v>
      </c>
      <c r="K253" s="15" t="s">
        <v>311</v>
      </c>
      <c r="L253" s="16" t="s">
        <v>278</v>
      </c>
      <c r="M253" s="9" t="e">
        <f t="shared" si="63"/>
        <v>#VALUE!</v>
      </c>
      <c r="N253" s="8"/>
      <c r="O253" s="8" t="s">
        <v>47</v>
      </c>
      <c r="P253" s="9" t="e">
        <f t="shared" si="64"/>
        <v>#VALUE!</v>
      </c>
      <c r="Q253" s="9"/>
      <c r="R253" s="9" t="e">
        <f t="shared" si="65"/>
        <v>#VALUE!</v>
      </c>
      <c r="S253" s="9"/>
      <c r="T253" s="9" t="e">
        <f t="shared" si="66"/>
        <v>#VALUE!</v>
      </c>
      <c r="U253" s="9"/>
      <c r="V253" s="8"/>
      <c r="W253" s="17">
        <v>45073</v>
      </c>
      <c r="X253" s="17"/>
      <c r="Y253" s="8"/>
      <c r="Z253" s="17">
        <v>45077</v>
      </c>
      <c r="AA253" s="9"/>
      <c r="AB253" s="8"/>
      <c r="AC253" s="8"/>
      <c r="AD253" s="8"/>
      <c r="AE253" s="8"/>
      <c r="AF253" s="16"/>
    </row>
    <row r="254" spans="1:32" ht="15" hidden="1">
      <c r="A254" s="8">
        <v>250</v>
      </c>
      <c r="B254" s="55"/>
      <c r="C254" s="29" t="s">
        <v>312</v>
      </c>
      <c r="D254" s="8"/>
      <c r="E254" s="8"/>
      <c r="F254" s="9"/>
      <c r="G254" s="9"/>
      <c r="H254" s="6"/>
      <c r="I254" s="8"/>
      <c r="J254" s="9"/>
      <c r="K254" s="15"/>
      <c r="L254" s="16"/>
      <c r="M254" s="9"/>
      <c r="N254" s="8"/>
      <c r="O254" s="8"/>
      <c r="P254" s="9"/>
      <c r="Q254" s="9"/>
      <c r="R254" s="9"/>
      <c r="S254" s="9"/>
      <c r="T254" s="9"/>
      <c r="U254" s="9"/>
      <c r="V254" s="8"/>
      <c r="W254" s="17"/>
      <c r="X254" s="17"/>
      <c r="Y254" s="8"/>
      <c r="Z254" s="17"/>
      <c r="AA254" s="9"/>
      <c r="AB254" s="8"/>
      <c r="AC254" s="8"/>
      <c r="AD254" s="8"/>
      <c r="AE254" s="8"/>
      <c r="AF254" s="16"/>
    </row>
    <row r="255" spans="1:32" ht="45">
      <c r="A255" s="8">
        <v>251</v>
      </c>
      <c r="B255" s="55"/>
      <c r="C255" s="8" t="s">
        <v>313</v>
      </c>
      <c r="D255" s="8" t="s">
        <v>270</v>
      </c>
      <c r="E255" s="8" t="s">
        <v>42</v>
      </c>
      <c r="F255" s="9" t="s">
        <v>66</v>
      </c>
      <c r="G255" s="9" t="s">
        <v>66</v>
      </c>
      <c r="H255" s="26" t="s">
        <v>240</v>
      </c>
      <c r="I255" s="8" t="s">
        <v>241</v>
      </c>
      <c r="J255" s="9">
        <v>45046</v>
      </c>
      <c r="K255" s="15" t="s">
        <v>314</v>
      </c>
      <c r="L255" s="16" t="s">
        <v>278</v>
      </c>
      <c r="M255" s="9">
        <f t="shared" si="63"/>
        <v>45056</v>
      </c>
      <c r="N255" s="8"/>
      <c r="O255" s="8" t="s">
        <v>47</v>
      </c>
      <c r="P255" s="9">
        <f t="shared" si="64"/>
        <v>45052</v>
      </c>
      <c r="Q255" s="9"/>
      <c r="R255" s="9">
        <f t="shared" si="65"/>
        <v>45055</v>
      </c>
      <c r="S255" s="9"/>
      <c r="T255" s="9">
        <f t="shared" si="66"/>
        <v>45058</v>
      </c>
      <c r="U255" s="9"/>
      <c r="V255" s="8"/>
      <c r="W255" s="17">
        <v>45073</v>
      </c>
      <c r="X255" s="17"/>
      <c r="Y255" s="8"/>
      <c r="Z255" s="17">
        <v>45077</v>
      </c>
      <c r="AA255" s="9"/>
      <c r="AB255" s="8"/>
      <c r="AC255" s="8"/>
      <c r="AD255" s="8"/>
      <c r="AE255" s="8"/>
      <c r="AF255" s="16"/>
    </row>
    <row r="256" spans="1:32" ht="45">
      <c r="A256" s="8">
        <v>252</v>
      </c>
      <c r="B256" s="55"/>
      <c r="C256" s="27" t="s">
        <v>315</v>
      </c>
      <c r="D256" s="8" t="s">
        <v>270</v>
      </c>
      <c r="E256" s="8" t="s">
        <v>42</v>
      </c>
      <c r="F256" s="9" t="s">
        <v>66</v>
      </c>
      <c r="G256" s="9" t="s">
        <v>66</v>
      </c>
      <c r="H256" s="26" t="s">
        <v>240</v>
      </c>
      <c r="I256" s="8" t="s">
        <v>241</v>
      </c>
      <c r="J256" s="9">
        <v>45046</v>
      </c>
      <c r="K256" s="15" t="s">
        <v>316</v>
      </c>
      <c r="L256" s="16" t="s">
        <v>317</v>
      </c>
      <c r="M256" s="9">
        <f t="shared" si="63"/>
        <v>45056</v>
      </c>
      <c r="N256" s="8"/>
      <c r="O256" s="8" t="s">
        <v>47</v>
      </c>
      <c r="P256" s="9">
        <f t="shared" si="64"/>
        <v>45052</v>
      </c>
      <c r="Q256" s="9"/>
      <c r="R256" s="9">
        <f t="shared" si="65"/>
        <v>45055</v>
      </c>
      <c r="S256" s="9"/>
      <c r="T256" s="9">
        <f t="shared" si="66"/>
        <v>45058</v>
      </c>
      <c r="U256" s="9"/>
      <c r="V256" s="8"/>
      <c r="W256" s="17">
        <v>45073</v>
      </c>
      <c r="X256" s="17"/>
      <c r="Y256" s="8"/>
      <c r="Z256" s="17">
        <v>45077</v>
      </c>
      <c r="AA256" s="9"/>
      <c r="AB256" s="8"/>
      <c r="AC256" s="8"/>
      <c r="AD256" s="8"/>
      <c r="AE256" s="8"/>
      <c r="AF256" s="16"/>
    </row>
    <row r="257" spans="1:32" ht="15" hidden="1">
      <c r="A257" s="8">
        <v>253</v>
      </c>
      <c r="B257" s="55" t="s">
        <v>93</v>
      </c>
      <c r="C257" s="29" t="s">
        <v>318</v>
      </c>
      <c r="D257" s="8"/>
      <c r="E257" s="8"/>
      <c r="F257" s="9"/>
      <c r="G257" s="9"/>
      <c r="H257" s="26"/>
      <c r="I257" s="8"/>
      <c r="J257" s="9"/>
      <c r="K257" s="15"/>
      <c r="L257" s="16"/>
      <c r="M257" s="9"/>
      <c r="N257" s="8"/>
      <c r="O257" s="8"/>
      <c r="P257" s="9"/>
      <c r="Q257" s="9"/>
      <c r="R257" s="9"/>
      <c r="S257" s="9"/>
      <c r="T257" s="9"/>
      <c r="U257" s="9"/>
      <c r="V257" s="8"/>
      <c r="W257" s="17"/>
      <c r="X257" s="17"/>
      <c r="Y257" s="8"/>
      <c r="Z257" s="17"/>
      <c r="AA257" s="9"/>
      <c r="AB257" s="8"/>
      <c r="AC257" s="8"/>
      <c r="AD257" s="8"/>
      <c r="AE257" s="8"/>
      <c r="AF257" s="16"/>
    </row>
    <row r="258" spans="1:32" ht="45">
      <c r="A258" s="8">
        <v>254</v>
      </c>
      <c r="B258" s="55"/>
      <c r="C258" s="27" t="s">
        <v>319</v>
      </c>
      <c r="D258" s="8" t="s">
        <v>270</v>
      </c>
      <c r="E258" s="8" t="s">
        <v>42</v>
      </c>
      <c r="F258" s="9" t="s">
        <v>66</v>
      </c>
      <c r="G258" s="9" t="s">
        <v>66</v>
      </c>
      <c r="H258" s="26" t="s">
        <v>240</v>
      </c>
      <c r="I258" s="8" t="s">
        <v>241</v>
      </c>
      <c r="J258" s="9">
        <v>45021</v>
      </c>
      <c r="K258" s="58" t="s">
        <v>264</v>
      </c>
      <c r="L258" s="16" t="s">
        <v>317</v>
      </c>
      <c r="M258" s="9">
        <f t="shared" ref="M258:M262" si="67">J258+10</f>
        <v>45031</v>
      </c>
      <c r="N258" s="8"/>
      <c r="O258" s="8" t="s">
        <v>47</v>
      </c>
      <c r="P258" s="9">
        <f t="shared" ref="P258:P262" si="68">J258+6</f>
        <v>45027</v>
      </c>
      <c r="Q258" s="9"/>
      <c r="R258" s="9">
        <f t="shared" ref="R258:R262" si="69">J258+9</f>
        <v>45030</v>
      </c>
      <c r="S258" s="9"/>
      <c r="T258" s="9">
        <f t="shared" ref="T258:T262" si="70">J258+12</f>
        <v>45033</v>
      </c>
      <c r="U258" s="9"/>
      <c r="V258" s="8"/>
      <c r="W258" s="17">
        <v>45073</v>
      </c>
      <c r="X258" s="17"/>
      <c r="Y258" s="8"/>
      <c r="Z258" s="17">
        <v>45077</v>
      </c>
      <c r="AA258" s="9"/>
      <c r="AB258" s="8"/>
      <c r="AC258" s="8"/>
      <c r="AD258" s="8"/>
      <c r="AE258" s="8"/>
      <c r="AF258" s="16"/>
    </row>
    <row r="259" spans="1:32" ht="45">
      <c r="A259" s="8">
        <v>255</v>
      </c>
      <c r="B259" s="55"/>
      <c r="C259" s="8" t="s">
        <v>320</v>
      </c>
      <c r="D259" s="8" t="s">
        <v>270</v>
      </c>
      <c r="E259" s="8" t="s">
        <v>42</v>
      </c>
      <c r="F259" s="9" t="s">
        <v>66</v>
      </c>
      <c r="G259" s="9" t="s">
        <v>66</v>
      </c>
      <c r="H259" s="26" t="s">
        <v>240</v>
      </c>
      <c r="I259" s="8" t="s">
        <v>241</v>
      </c>
      <c r="J259" s="9">
        <v>45021</v>
      </c>
      <c r="K259" s="58"/>
      <c r="L259" s="16" t="s">
        <v>317</v>
      </c>
      <c r="M259" s="9">
        <f t="shared" si="67"/>
        <v>45031</v>
      </c>
      <c r="N259" s="8"/>
      <c r="O259" s="8" t="s">
        <v>47</v>
      </c>
      <c r="P259" s="9">
        <f t="shared" si="68"/>
        <v>45027</v>
      </c>
      <c r="Q259" s="9"/>
      <c r="R259" s="9">
        <f t="shared" si="69"/>
        <v>45030</v>
      </c>
      <c r="S259" s="9"/>
      <c r="T259" s="9">
        <f t="shared" si="70"/>
        <v>45033</v>
      </c>
      <c r="U259" s="9"/>
      <c r="V259" s="8"/>
      <c r="W259" s="17">
        <v>45073</v>
      </c>
      <c r="X259" s="17"/>
      <c r="Y259" s="8"/>
      <c r="Z259" s="17">
        <v>45077</v>
      </c>
      <c r="AA259" s="9"/>
      <c r="AB259" s="8"/>
      <c r="AC259" s="8"/>
      <c r="AD259" s="8"/>
      <c r="AE259" s="8"/>
      <c r="AF259" s="16"/>
    </row>
    <row r="260" spans="1:32" ht="45">
      <c r="A260" s="8">
        <v>256</v>
      </c>
      <c r="B260" s="55"/>
      <c r="C260" s="8" t="s">
        <v>273</v>
      </c>
      <c r="D260" s="8" t="s">
        <v>270</v>
      </c>
      <c r="E260" s="8" t="s">
        <v>42</v>
      </c>
      <c r="F260" s="9" t="s">
        <v>66</v>
      </c>
      <c r="G260" s="9" t="s">
        <v>66</v>
      </c>
      <c r="H260" s="26" t="s">
        <v>240</v>
      </c>
      <c r="I260" s="8" t="s">
        <v>241</v>
      </c>
      <c r="J260" s="9">
        <v>45021</v>
      </c>
      <c r="K260" s="58"/>
      <c r="L260" s="16" t="s">
        <v>317</v>
      </c>
      <c r="M260" s="9">
        <f t="shared" si="67"/>
        <v>45031</v>
      </c>
      <c r="N260" s="8"/>
      <c r="O260" s="8" t="s">
        <v>47</v>
      </c>
      <c r="P260" s="9">
        <f t="shared" si="68"/>
        <v>45027</v>
      </c>
      <c r="Q260" s="9"/>
      <c r="R260" s="9">
        <f t="shared" si="69"/>
        <v>45030</v>
      </c>
      <c r="S260" s="9"/>
      <c r="T260" s="9">
        <f t="shared" si="70"/>
        <v>45033</v>
      </c>
      <c r="U260" s="9"/>
      <c r="V260" s="8"/>
      <c r="W260" s="17">
        <v>45073</v>
      </c>
      <c r="X260" s="17"/>
      <c r="Y260" s="8"/>
      <c r="Z260" s="17">
        <v>45077</v>
      </c>
      <c r="AA260" s="9"/>
      <c r="AB260" s="8"/>
      <c r="AC260" s="8"/>
      <c r="AD260" s="8"/>
      <c r="AE260" s="8"/>
      <c r="AF260" s="16"/>
    </row>
    <row r="261" spans="1:32" ht="45">
      <c r="A261" s="8">
        <v>257</v>
      </c>
      <c r="B261" s="55"/>
      <c r="C261" s="8" t="s">
        <v>274</v>
      </c>
      <c r="D261" s="8" t="s">
        <v>270</v>
      </c>
      <c r="E261" s="8" t="s">
        <v>42</v>
      </c>
      <c r="F261" s="9" t="s">
        <v>66</v>
      </c>
      <c r="G261" s="9" t="s">
        <v>66</v>
      </c>
      <c r="H261" s="26" t="s">
        <v>240</v>
      </c>
      <c r="I261" s="8" t="s">
        <v>241</v>
      </c>
      <c r="J261" s="9">
        <v>45021</v>
      </c>
      <c r="K261" s="58"/>
      <c r="L261" s="16" t="s">
        <v>317</v>
      </c>
      <c r="M261" s="9">
        <f t="shared" si="67"/>
        <v>45031</v>
      </c>
      <c r="N261" s="8"/>
      <c r="O261" s="8" t="s">
        <v>47</v>
      </c>
      <c r="P261" s="9">
        <f t="shared" si="68"/>
        <v>45027</v>
      </c>
      <c r="Q261" s="9"/>
      <c r="R261" s="9">
        <f t="shared" si="69"/>
        <v>45030</v>
      </c>
      <c r="S261" s="9"/>
      <c r="T261" s="9">
        <f t="shared" si="70"/>
        <v>45033</v>
      </c>
      <c r="U261" s="9"/>
      <c r="V261" s="8"/>
      <c r="W261" s="17">
        <v>45073</v>
      </c>
      <c r="X261" s="17"/>
      <c r="Y261" s="8"/>
      <c r="Z261" s="17">
        <v>45077</v>
      </c>
      <c r="AA261" s="9"/>
      <c r="AB261" s="8"/>
      <c r="AC261" s="8"/>
      <c r="AD261" s="8"/>
      <c r="AE261" s="8"/>
      <c r="AF261" s="16"/>
    </row>
    <row r="262" spans="1:32" ht="45">
      <c r="A262" s="8">
        <v>258</v>
      </c>
      <c r="B262" s="55"/>
      <c r="C262" s="8" t="s">
        <v>321</v>
      </c>
      <c r="D262" s="8" t="s">
        <v>270</v>
      </c>
      <c r="E262" s="8" t="s">
        <v>42</v>
      </c>
      <c r="F262" s="9" t="s">
        <v>66</v>
      </c>
      <c r="G262" s="9" t="s">
        <v>66</v>
      </c>
      <c r="H262" s="26" t="s">
        <v>240</v>
      </c>
      <c r="I262" s="8" t="s">
        <v>241</v>
      </c>
      <c r="J262" s="9">
        <v>45021</v>
      </c>
      <c r="K262" s="58"/>
      <c r="L262" s="16" t="s">
        <v>317</v>
      </c>
      <c r="M262" s="9">
        <f t="shared" si="67"/>
        <v>45031</v>
      </c>
      <c r="N262" s="8"/>
      <c r="O262" s="8" t="s">
        <v>47</v>
      </c>
      <c r="P262" s="9">
        <f t="shared" si="68"/>
        <v>45027</v>
      </c>
      <c r="Q262" s="9"/>
      <c r="R262" s="9">
        <f t="shared" si="69"/>
        <v>45030</v>
      </c>
      <c r="S262" s="9"/>
      <c r="T262" s="9">
        <f t="shared" si="70"/>
        <v>45033</v>
      </c>
      <c r="U262" s="9"/>
      <c r="V262" s="8"/>
      <c r="W262" s="17">
        <v>45073</v>
      </c>
      <c r="X262" s="17"/>
      <c r="Y262" s="8"/>
      <c r="Z262" s="17">
        <v>45077</v>
      </c>
      <c r="AA262" s="9"/>
      <c r="AB262" s="8"/>
      <c r="AC262" s="8"/>
      <c r="AD262" s="8"/>
      <c r="AE262" s="8"/>
      <c r="AF262" s="16"/>
    </row>
    <row r="263" spans="1:32" ht="15" hidden="1">
      <c r="A263" s="8">
        <v>259</v>
      </c>
      <c r="B263" s="55"/>
      <c r="C263" s="24" t="s">
        <v>322</v>
      </c>
      <c r="D263" s="8"/>
      <c r="E263" s="8"/>
      <c r="F263" s="9"/>
      <c r="G263" s="9"/>
      <c r="H263" s="26"/>
      <c r="I263" s="8"/>
      <c r="J263" s="9"/>
      <c r="K263" s="58"/>
      <c r="L263" s="16"/>
      <c r="M263" s="9"/>
      <c r="N263" s="8"/>
      <c r="O263" s="8"/>
      <c r="P263" s="9"/>
      <c r="Q263" s="9"/>
      <c r="R263" s="9"/>
      <c r="S263" s="9"/>
      <c r="T263" s="9"/>
      <c r="U263" s="9"/>
      <c r="V263" s="8"/>
      <c r="W263" s="17"/>
      <c r="X263" s="17"/>
      <c r="Y263" s="8"/>
      <c r="Z263" s="17"/>
      <c r="AA263" s="9"/>
      <c r="AB263" s="8"/>
      <c r="AC263" s="8"/>
      <c r="AD263" s="8"/>
      <c r="AE263" s="8"/>
      <c r="AF263" s="16"/>
    </row>
    <row r="264" spans="1:32" ht="45">
      <c r="A264" s="8">
        <v>260</v>
      </c>
      <c r="B264" s="55"/>
      <c r="C264" s="8" t="s">
        <v>323</v>
      </c>
      <c r="D264" s="8" t="s">
        <v>270</v>
      </c>
      <c r="E264" s="8" t="s">
        <v>42</v>
      </c>
      <c r="F264" s="9" t="s">
        <v>66</v>
      </c>
      <c r="G264" s="9" t="s">
        <v>66</v>
      </c>
      <c r="H264" s="26" t="s">
        <v>240</v>
      </c>
      <c r="I264" s="8" t="s">
        <v>241</v>
      </c>
      <c r="J264" s="9">
        <v>45021</v>
      </c>
      <c r="K264" s="58"/>
      <c r="L264" s="16" t="s">
        <v>317</v>
      </c>
      <c r="M264" s="9">
        <f t="shared" ref="M264:M272" si="71">J264+10</f>
        <v>45031</v>
      </c>
      <c r="N264" s="8"/>
      <c r="O264" s="8" t="s">
        <v>47</v>
      </c>
      <c r="P264" s="9">
        <f t="shared" ref="P264:P272" si="72">J264+6</f>
        <v>45027</v>
      </c>
      <c r="Q264" s="9"/>
      <c r="R264" s="9">
        <f t="shared" ref="R264:R272" si="73">J264+9</f>
        <v>45030</v>
      </c>
      <c r="S264" s="9"/>
      <c r="T264" s="9">
        <f t="shared" ref="T264:T272" si="74">J264+12</f>
        <v>45033</v>
      </c>
      <c r="U264" s="9"/>
      <c r="V264" s="8"/>
      <c r="W264" s="17">
        <v>45073</v>
      </c>
      <c r="X264" s="17"/>
      <c r="Y264" s="8"/>
      <c r="Z264" s="17">
        <v>45077</v>
      </c>
      <c r="AA264" s="9"/>
      <c r="AB264" s="8"/>
      <c r="AC264" s="8"/>
      <c r="AD264" s="8"/>
      <c r="AE264" s="8"/>
      <c r="AF264" s="16"/>
    </row>
    <row r="265" spans="1:32" ht="45">
      <c r="A265" s="8">
        <v>261</v>
      </c>
      <c r="B265" s="55"/>
      <c r="C265" s="27" t="s">
        <v>324</v>
      </c>
      <c r="D265" s="8" t="s">
        <v>270</v>
      </c>
      <c r="E265" s="8" t="s">
        <v>42</v>
      </c>
      <c r="F265" s="9" t="s">
        <v>66</v>
      </c>
      <c r="G265" s="9" t="s">
        <v>66</v>
      </c>
      <c r="H265" s="26" t="s">
        <v>240</v>
      </c>
      <c r="I265" s="8" t="s">
        <v>241</v>
      </c>
      <c r="J265" s="9">
        <v>45021</v>
      </c>
      <c r="K265" s="58"/>
      <c r="L265" s="16" t="s">
        <v>317</v>
      </c>
      <c r="M265" s="9">
        <f t="shared" si="71"/>
        <v>45031</v>
      </c>
      <c r="N265" s="8"/>
      <c r="O265" s="8" t="s">
        <v>47</v>
      </c>
      <c r="P265" s="9">
        <f t="shared" si="72"/>
        <v>45027</v>
      </c>
      <c r="Q265" s="9"/>
      <c r="R265" s="9">
        <f t="shared" si="73"/>
        <v>45030</v>
      </c>
      <c r="S265" s="9"/>
      <c r="T265" s="9">
        <f t="shared" si="74"/>
        <v>45033</v>
      </c>
      <c r="U265" s="9"/>
      <c r="V265" s="8"/>
      <c r="W265" s="17">
        <v>45073</v>
      </c>
      <c r="X265" s="17"/>
      <c r="Y265" s="8"/>
      <c r="Z265" s="17">
        <v>45077</v>
      </c>
      <c r="AA265" s="9"/>
      <c r="AB265" s="8"/>
      <c r="AC265" s="8"/>
      <c r="AD265" s="8"/>
      <c r="AE265" s="8"/>
      <c r="AF265" s="16"/>
    </row>
    <row r="266" spans="1:32" ht="45">
      <c r="A266" s="8">
        <v>262</v>
      </c>
      <c r="B266" s="55"/>
      <c r="C266" s="8" t="s">
        <v>325</v>
      </c>
      <c r="D266" s="8" t="s">
        <v>270</v>
      </c>
      <c r="E266" s="8" t="s">
        <v>42</v>
      </c>
      <c r="F266" s="9" t="s">
        <v>66</v>
      </c>
      <c r="G266" s="9" t="s">
        <v>66</v>
      </c>
      <c r="H266" s="26" t="s">
        <v>240</v>
      </c>
      <c r="I266" s="8" t="s">
        <v>241</v>
      </c>
      <c r="J266" s="9">
        <v>45021</v>
      </c>
      <c r="K266" s="58"/>
      <c r="L266" s="16" t="s">
        <v>317</v>
      </c>
      <c r="M266" s="9">
        <f t="shared" si="71"/>
        <v>45031</v>
      </c>
      <c r="N266" s="8"/>
      <c r="O266" s="8" t="s">
        <v>47</v>
      </c>
      <c r="P266" s="9">
        <f t="shared" si="72"/>
        <v>45027</v>
      </c>
      <c r="Q266" s="9"/>
      <c r="R266" s="9">
        <f t="shared" si="73"/>
        <v>45030</v>
      </c>
      <c r="S266" s="9"/>
      <c r="T266" s="9">
        <f t="shared" si="74"/>
        <v>45033</v>
      </c>
      <c r="U266" s="9"/>
      <c r="V266" s="8"/>
      <c r="W266" s="17">
        <v>45073</v>
      </c>
      <c r="X266" s="17"/>
      <c r="Y266" s="8"/>
      <c r="Z266" s="17">
        <v>45077</v>
      </c>
      <c r="AA266" s="9"/>
      <c r="AB266" s="8"/>
      <c r="AC266" s="8"/>
      <c r="AD266" s="8"/>
      <c r="AE266" s="8"/>
      <c r="AF266" s="16"/>
    </row>
    <row r="267" spans="1:32" ht="45">
      <c r="A267" s="8">
        <v>263</v>
      </c>
      <c r="B267" s="55"/>
      <c r="C267" s="8" t="s">
        <v>326</v>
      </c>
      <c r="D267" s="8" t="s">
        <v>270</v>
      </c>
      <c r="E267" s="8" t="s">
        <v>42</v>
      </c>
      <c r="F267" s="9" t="s">
        <v>66</v>
      </c>
      <c r="G267" s="9" t="s">
        <v>66</v>
      </c>
      <c r="H267" s="26" t="s">
        <v>240</v>
      </c>
      <c r="I267" s="8" t="s">
        <v>241</v>
      </c>
      <c r="J267" s="9">
        <v>45021</v>
      </c>
      <c r="K267" s="58"/>
      <c r="L267" s="16" t="s">
        <v>317</v>
      </c>
      <c r="M267" s="9">
        <f t="shared" si="71"/>
        <v>45031</v>
      </c>
      <c r="N267" s="8"/>
      <c r="O267" s="8" t="s">
        <v>47</v>
      </c>
      <c r="P267" s="9">
        <f t="shared" si="72"/>
        <v>45027</v>
      </c>
      <c r="Q267" s="9"/>
      <c r="R267" s="9">
        <f t="shared" si="73"/>
        <v>45030</v>
      </c>
      <c r="S267" s="9"/>
      <c r="T267" s="9">
        <f t="shared" si="74"/>
        <v>45033</v>
      </c>
      <c r="U267" s="9"/>
      <c r="V267" s="8"/>
      <c r="W267" s="17">
        <v>45073</v>
      </c>
      <c r="X267" s="17"/>
      <c r="Y267" s="8"/>
      <c r="Z267" s="17">
        <v>45077</v>
      </c>
      <c r="AA267" s="9"/>
      <c r="AB267" s="8"/>
      <c r="AC267" s="8"/>
      <c r="AD267" s="8"/>
      <c r="AE267" s="8"/>
      <c r="AF267" s="16"/>
    </row>
    <row r="268" spans="1:32" ht="45">
      <c r="A268" s="8">
        <v>264</v>
      </c>
      <c r="B268" s="55"/>
      <c r="C268" s="8" t="s">
        <v>327</v>
      </c>
      <c r="D268" s="8" t="s">
        <v>270</v>
      </c>
      <c r="E268" s="8" t="s">
        <v>42</v>
      </c>
      <c r="F268" s="9" t="s">
        <v>66</v>
      </c>
      <c r="G268" s="9" t="s">
        <v>66</v>
      </c>
      <c r="H268" s="26" t="s">
        <v>240</v>
      </c>
      <c r="I268" s="8" t="s">
        <v>241</v>
      </c>
      <c r="J268" s="9">
        <v>45046</v>
      </c>
      <c r="K268" s="15" t="s">
        <v>328</v>
      </c>
      <c r="L268" s="16" t="s">
        <v>317</v>
      </c>
      <c r="M268" s="9">
        <f t="shared" si="71"/>
        <v>45056</v>
      </c>
      <c r="N268" s="8"/>
      <c r="O268" s="8" t="s">
        <v>47</v>
      </c>
      <c r="P268" s="9">
        <f t="shared" si="72"/>
        <v>45052</v>
      </c>
      <c r="Q268" s="9"/>
      <c r="R268" s="9">
        <f t="shared" si="73"/>
        <v>45055</v>
      </c>
      <c r="S268" s="9"/>
      <c r="T268" s="9">
        <f t="shared" si="74"/>
        <v>45058</v>
      </c>
      <c r="U268" s="9"/>
      <c r="V268" s="8"/>
      <c r="W268" s="17">
        <v>45073</v>
      </c>
      <c r="X268" s="17"/>
      <c r="Y268" s="8"/>
      <c r="Z268" s="17">
        <v>45077</v>
      </c>
      <c r="AA268" s="9"/>
      <c r="AB268" s="8"/>
      <c r="AC268" s="8"/>
      <c r="AD268" s="8"/>
      <c r="AE268" s="8"/>
      <c r="AF268" s="16"/>
    </row>
    <row r="269" spans="1:32" ht="45">
      <c r="A269" s="8">
        <v>265</v>
      </c>
      <c r="B269" s="55"/>
      <c r="C269" s="8" t="s">
        <v>329</v>
      </c>
      <c r="D269" s="8" t="s">
        <v>270</v>
      </c>
      <c r="E269" s="8" t="s">
        <v>42</v>
      </c>
      <c r="F269" s="9" t="s">
        <v>66</v>
      </c>
      <c r="G269" s="9" t="s">
        <v>66</v>
      </c>
      <c r="H269" s="26" t="s">
        <v>240</v>
      </c>
      <c r="I269" s="8" t="s">
        <v>241</v>
      </c>
      <c r="J269" s="9">
        <v>45046</v>
      </c>
      <c r="K269" s="15" t="s">
        <v>284</v>
      </c>
      <c r="L269" s="16" t="s">
        <v>317</v>
      </c>
      <c r="M269" s="9">
        <f t="shared" si="71"/>
        <v>45056</v>
      </c>
      <c r="N269" s="8"/>
      <c r="O269" s="8" t="s">
        <v>47</v>
      </c>
      <c r="P269" s="9">
        <f t="shared" si="72"/>
        <v>45052</v>
      </c>
      <c r="Q269" s="9"/>
      <c r="R269" s="9">
        <f t="shared" si="73"/>
        <v>45055</v>
      </c>
      <c r="S269" s="9"/>
      <c r="T269" s="9">
        <f t="shared" si="74"/>
        <v>45058</v>
      </c>
      <c r="U269" s="9"/>
      <c r="V269" s="8"/>
      <c r="W269" s="17">
        <v>45073</v>
      </c>
      <c r="X269" s="17"/>
      <c r="Y269" s="8"/>
      <c r="Z269" s="17">
        <v>45077</v>
      </c>
      <c r="AA269" s="9"/>
      <c r="AB269" s="8"/>
      <c r="AC269" s="8"/>
      <c r="AD269" s="8"/>
      <c r="AE269" s="8"/>
      <c r="AF269" s="16"/>
    </row>
    <row r="270" spans="1:32" ht="45">
      <c r="A270" s="8">
        <v>266</v>
      </c>
      <c r="B270" s="55"/>
      <c r="C270" s="8" t="s">
        <v>330</v>
      </c>
      <c r="D270" s="8" t="s">
        <v>270</v>
      </c>
      <c r="E270" s="8" t="s">
        <v>42</v>
      </c>
      <c r="F270" s="9" t="s">
        <v>66</v>
      </c>
      <c r="G270" s="9" t="s">
        <v>66</v>
      </c>
      <c r="H270" s="26" t="s">
        <v>240</v>
      </c>
      <c r="I270" s="8" t="s">
        <v>241</v>
      </c>
      <c r="J270" s="9">
        <v>45021</v>
      </c>
      <c r="K270" s="58" t="s">
        <v>264</v>
      </c>
      <c r="L270" s="16" t="s">
        <v>317</v>
      </c>
      <c r="M270" s="9">
        <f t="shared" si="71"/>
        <v>45031</v>
      </c>
      <c r="N270" s="8"/>
      <c r="O270" s="8" t="s">
        <v>47</v>
      </c>
      <c r="P270" s="9">
        <f t="shared" si="72"/>
        <v>45027</v>
      </c>
      <c r="Q270" s="9"/>
      <c r="R270" s="9">
        <f t="shared" si="73"/>
        <v>45030</v>
      </c>
      <c r="S270" s="9"/>
      <c r="T270" s="9">
        <f t="shared" si="74"/>
        <v>45033</v>
      </c>
      <c r="U270" s="9"/>
      <c r="V270" s="8"/>
      <c r="W270" s="17">
        <v>45073</v>
      </c>
      <c r="X270" s="17"/>
      <c r="Y270" s="8"/>
      <c r="Z270" s="17">
        <v>45077</v>
      </c>
      <c r="AA270" s="9"/>
      <c r="AB270" s="8"/>
      <c r="AC270" s="8"/>
      <c r="AD270" s="8"/>
      <c r="AE270" s="8"/>
      <c r="AF270" s="16"/>
    </row>
    <row r="271" spans="1:32" ht="45">
      <c r="A271" s="8">
        <v>267</v>
      </c>
      <c r="B271" s="55"/>
      <c r="C271" s="8" t="s">
        <v>331</v>
      </c>
      <c r="D271" s="8" t="s">
        <v>270</v>
      </c>
      <c r="E271" s="8" t="s">
        <v>42</v>
      </c>
      <c r="F271" s="9" t="s">
        <v>66</v>
      </c>
      <c r="G271" s="9" t="s">
        <v>66</v>
      </c>
      <c r="H271" s="26" t="s">
        <v>240</v>
      </c>
      <c r="I271" s="8" t="s">
        <v>241</v>
      </c>
      <c r="J271" s="9">
        <v>45021</v>
      </c>
      <c r="K271" s="58"/>
      <c r="L271" s="16" t="s">
        <v>317</v>
      </c>
      <c r="M271" s="9">
        <f t="shared" si="71"/>
        <v>45031</v>
      </c>
      <c r="N271" s="8"/>
      <c r="O271" s="8" t="s">
        <v>47</v>
      </c>
      <c r="P271" s="9">
        <f t="shared" si="72"/>
        <v>45027</v>
      </c>
      <c r="Q271" s="9"/>
      <c r="R271" s="9">
        <f t="shared" si="73"/>
        <v>45030</v>
      </c>
      <c r="S271" s="9"/>
      <c r="T271" s="9">
        <f t="shared" si="74"/>
        <v>45033</v>
      </c>
      <c r="U271" s="9"/>
      <c r="V271" s="8"/>
      <c r="W271" s="17">
        <v>45073</v>
      </c>
      <c r="X271" s="17"/>
      <c r="Y271" s="8"/>
      <c r="Z271" s="17">
        <v>45077</v>
      </c>
      <c r="AA271" s="9"/>
      <c r="AB271" s="8"/>
      <c r="AC271" s="8"/>
      <c r="AD271" s="8"/>
      <c r="AE271" s="8"/>
      <c r="AF271" s="16"/>
    </row>
    <row r="272" spans="1:32" ht="45">
      <c r="A272" s="8">
        <v>268</v>
      </c>
      <c r="B272" s="55"/>
      <c r="C272" s="8" t="s">
        <v>332</v>
      </c>
      <c r="D272" s="8" t="s">
        <v>270</v>
      </c>
      <c r="E272" s="8" t="s">
        <v>42</v>
      </c>
      <c r="F272" s="9" t="s">
        <v>66</v>
      </c>
      <c r="G272" s="9" t="s">
        <v>66</v>
      </c>
      <c r="H272" s="26" t="s">
        <v>240</v>
      </c>
      <c r="I272" s="8" t="s">
        <v>241</v>
      </c>
      <c r="J272" s="9">
        <v>45061</v>
      </c>
      <c r="K272" s="15" t="s">
        <v>284</v>
      </c>
      <c r="L272" s="16" t="s">
        <v>317</v>
      </c>
      <c r="M272" s="9">
        <f t="shared" si="71"/>
        <v>45071</v>
      </c>
      <c r="N272" s="8"/>
      <c r="O272" s="8" t="s">
        <v>47</v>
      </c>
      <c r="P272" s="9">
        <f t="shared" si="72"/>
        <v>45067</v>
      </c>
      <c r="Q272" s="9"/>
      <c r="R272" s="9">
        <f t="shared" si="73"/>
        <v>45070</v>
      </c>
      <c r="S272" s="9"/>
      <c r="T272" s="9">
        <f t="shared" si="74"/>
        <v>45073</v>
      </c>
      <c r="U272" s="9"/>
      <c r="V272" s="8"/>
      <c r="W272" s="17">
        <v>45073</v>
      </c>
      <c r="X272" s="17"/>
      <c r="Y272" s="8"/>
      <c r="Z272" s="17">
        <v>45077</v>
      </c>
      <c r="AA272" s="9"/>
      <c r="AB272" s="8"/>
      <c r="AC272" s="8"/>
      <c r="AD272" s="8"/>
      <c r="AE272" s="8"/>
      <c r="AF272" s="16"/>
    </row>
    <row r="273" spans="1:32" ht="15" hidden="1">
      <c r="A273" s="8">
        <v>269</v>
      </c>
      <c r="B273" s="55"/>
      <c r="C273" s="24" t="s">
        <v>333</v>
      </c>
      <c r="D273" s="8"/>
      <c r="E273" s="8"/>
      <c r="F273" s="9"/>
      <c r="G273" s="9"/>
      <c r="H273" s="26"/>
      <c r="I273" s="8"/>
      <c r="J273" s="9"/>
      <c r="K273" s="15"/>
      <c r="L273" s="16"/>
      <c r="M273" s="9"/>
      <c r="N273" s="8"/>
      <c r="O273" s="8"/>
      <c r="P273" s="9"/>
      <c r="Q273" s="9"/>
      <c r="R273" s="9"/>
      <c r="S273" s="9"/>
      <c r="T273" s="9"/>
      <c r="U273" s="9"/>
      <c r="V273" s="8"/>
      <c r="W273" s="17"/>
      <c r="X273" s="17"/>
      <c r="Y273" s="8"/>
      <c r="Z273" s="17"/>
      <c r="AA273" s="9"/>
      <c r="AB273" s="8"/>
      <c r="AC273" s="8"/>
      <c r="AD273" s="8"/>
      <c r="AE273" s="8"/>
      <c r="AF273" s="16"/>
    </row>
    <row r="274" spans="1:32" ht="45">
      <c r="A274" s="8">
        <v>270</v>
      </c>
      <c r="B274" s="55"/>
      <c r="C274" s="8" t="s">
        <v>334</v>
      </c>
      <c r="D274" s="8" t="s">
        <v>270</v>
      </c>
      <c r="E274" s="8" t="s">
        <v>42</v>
      </c>
      <c r="F274" s="9" t="s">
        <v>66</v>
      </c>
      <c r="G274" s="9" t="s">
        <v>66</v>
      </c>
      <c r="H274" s="26" t="s">
        <v>240</v>
      </c>
      <c r="I274" s="8" t="s">
        <v>241</v>
      </c>
      <c r="J274" s="9">
        <v>45021</v>
      </c>
      <c r="K274" s="58" t="s">
        <v>264</v>
      </c>
      <c r="L274" s="16" t="s">
        <v>317</v>
      </c>
      <c r="M274" s="9">
        <f t="shared" ref="M274:M289" si="75">J274+10</f>
        <v>45031</v>
      </c>
      <c r="N274" s="8"/>
      <c r="O274" s="8" t="s">
        <v>47</v>
      </c>
      <c r="P274" s="9">
        <f t="shared" ref="P274:P289" si="76">J274+6</f>
        <v>45027</v>
      </c>
      <c r="Q274" s="9"/>
      <c r="R274" s="9">
        <f t="shared" ref="R274:R289" si="77">J274+9</f>
        <v>45030</v>
      </c>
      <c r="S274" s="9"/>
      <c r="T274" s="9">
        <f t="shared" ref="T274:T289" si="78">J274+12</f>
        <v>45033</v>
      </c>
      <c r="U274" s="9"/>
      <c r="V274" s="8"/>
      <c r="W274" s="17">
        <v>45073</v>
      </c>
      <c r="X274" s="17"/>
      <c r="Y274" s="8"/>
      <c r="Z274" s="17">
        <v>45077</v>
      </c>
      <c r="AA274" s="9"/>
      <c r="AB274" s="8"/>
      <c r="AC274" s="8"/>
      <c r="AD274" s="8"/>
      <c r="AE274" s="8"/>
      <c r="AF274" s="16"/>
    </row>
    <row r="275" spans="1:32" ht="45">
      <c r="A275" s="8">
        <v>271</v>
      </c>
      <c r="B275" s="55"/>
      <c r="C275" s="8" t="s">
        <v>335</v>
      </c>
      <c r="D275" s="8" t="s">
        <v>270</v>
      </c>
      <c r="E275" s="8" t="s">
        <v>42</v>
      </c>
      <c r="F275" s="9" t="s">
        <v>66</v>
      </c>
      <c r="G275" s="9" t="s">
        <v>66</v>
      </c>
      <c r="H275" s="26" t="s">
        <v>240</v>
      </c>
      <c r="I275" s="8" t="s">
        <v>241</v>
      </c>
      <c r="J275" s="9">
        <v>45021</v>
      </c>
      <c r="K275" s="58"/>
      <c r="L275" s="16" t="s">
        <v>317</v>
      </c>
      <c r="M275" s="9">
        <f t="shared" si="75"/>
        <v>45031</v>
      </c>
      <c r="N275" s="8"/>
      <c r="O275" s="8" t="s">
        <v>47</v>
      </c>
      <c r="P275" s="9">
        <f t="shared" si="76"/>
        <v>45027</v>
      </c>
      <c r="Q275" s="9"/>
      <c r="R275" s="9">
        <f t="shared" si="77"/>
        <v>45030</v>
      </c>
      <c r="S275" s="9"/>
      <c r="T275" s="9">
        <f t="shared" si="78"/>
        <v>45033</v>
      </c>
      <c r="U275" s="9"/>
      <c r="V275" s="8"/>
      <c r="W275" s="17">
        <v>45073</v>
      </c>
      <c r="X275" s="17"/>
      <c r="Y275" s="8"/>
      <c r="Z275" s="17">
        <v>45077</v>
      </c>
      <c r="AA275" s="9"/>
      <c r="AB275" s="8"/>
      <c r="AC275" s="8"/>
      <c r="AD275" s="8"/>
      <c r="AE275" s="8"/>
      <c r="AF275" s="16"/>
    </row>
    <row r="276" spans="1:32" ht="45">
      <c r="A276" s="8">
        <v>272</v>
      </c>
      <c r="B276" s="55"/>
      <c r="C276" s="8" t="s">
        <v>336</v>
      </c>
      <c r="D276" s="8" t="s">
        <v>270</v>
      </c>
      <c r="E276" s="8" t="s">
        <v>42</v>
      </c>
      <c r="F276" s="9" t="s">
        <v>66</v>
      </c>
      <c r="G276" s="9" t="s">
        <v>66</v>
      </c>
      <c r="H276" s="26" t="s">
        <v>240</v>
      </c>
      <c r="I276" s="8" t="s">
        <v>241</v>
      </c>
      <c r="J276" s="9">
        <v>45046</v>
      </c>
      <c r="K276" s="15" t="s">
        <v>284</v>
      </c>
      <c r="L276" s="16" t="s">
        <v>317</v>
      </c>
      <c r="M276" s="9">
        <f t="shared" si="75"/>
        <v>45056</v>
      </c>
      <c r="N276" s="8"/>
      <c r="O276" s="8" t="s">
        <v>47</v>
      </c>
      <c r="P276" s="9">
        <f t="shared" si="76"/>
        <v>45052</v>
      </c>
      <c r="Q276" s="9"/>
      <c r="R276" s="9">
        <f t="shared" si="77"/>
        <v>45055</v>
      </c>
      <c r="S276" s="9"/>
      <c r="T276" s="9">
        <f t="shared" si="78"/>
        <v>45058</v>
      </c>
      <c r="U276" s="9"/>
      <c r="V276" s="8"/>
      <c r="W276" s="17">
        <v>45073</v>
      </c>
      <c r="X276" s="17"/>
      <c r="Y276" s="8"/>
      <c r="Z276" s="17">
        <v>45077</v>
      </c>
      <c r="AA276" s="9"/>
      <c r="AB276" s="8"/>
      <c r="AC276" s="8"/>
      <c r="AD276" s="8"/>
      <c r="AE276" s="8"/>
      <c r="AF276" s="16"/>
    </row>
    <row r="277" spans="1:32" ht="45">
      <c r="A277" s="8">
        <v>273</v>
      </c>
      <c r="B277" s="55"/>
      <c r="C277" s="8" t="s">
        <v>337</v>
      </c>
      <c r="D277" s="8" t="s">
        <v>270</v>
      </c>
      <c r="E277" s="8" t="s">
        <v>42</v>
      </c>
      <c r="F277" s="9" t="s">
        <v>66</v>
      </c>
      <c r="G277" s="9" t="s">
        <v>66</v>
      </c>
      <c r="H277" s="26" t="s">
        <v>240</v>
      </c>
      <c r="I277" s="8" t="s">
        <v>241</v>
      </c>
      <c r="J277" s="9">
        <v>45021</v>
      </c>
      <c r="K277" s="58" t="s">
        <v>264</v>
      </c>
      <c r="L277" s="16" t="s">
        <v>317</v>
      </c>
      <c r="M277" s="9">
        <f t="shared" si="75"/>
        <v>45031</v>
      </c>
      <c r="N277" s="8"/>
      <c r="O277" s="8" t="s">
        <v>47</v>
      </c>
      <c r="P277" s="9">
        <f t="shared" si="76"/>
        <v>45027</v>
      </c>
      <c r="Q277" s="9"/>
      <c r="R277" s="9">
        <f t="shared" si="77"/>
        <v>45030</v>
      </c>
      <c r="S277" s="9"/>
      <c r="T277" s="9">
        <f t="shared" si="78"/>
        <v>45033</v>
      </c>
      <c r="U277" s="9"/>
      <c r="V277" s="8"/>
      <c r="W277" s="17">
        <v>45073</v>
      </c>
      <c r="X277" s="17"/>
      <c r="Y277" s="8"/>
      <c r="Z277" s="17">
        <v>45077</v>
      </c>
      <c r="AA277" s="9"/>
      <c r="AB277" s="8"/>
      <c r="AC277" s="8"/>
      <c r="AD277" s="8"/>
      <c r="AE277" s="8"/>
      <c r="AF277" s="16"/>
    </row>
    <row r="278" spans="1:32" ht="45">
      <c r="A278" s="8">
        <v>274</v>
      </c>
      <c r="B278" s="55"/>
      <c r="C278" s="8" t="s">
        <v>338</v>
      </c>
      <c r="D278" s="8" t="s">
        <v>270</v>
      </c>
      <c r="E278" s="8" t="s">
        <v>42</v>
      </c>
      <c r="F278" s="9" t="s">
        <v>66</v>
      </c>
      <c r="G278" s="9" t="s">
        <v>66</v>
      </c>
      <c r="H278" s="26" t="s">
        <v>240</v>
      </c>
      <c r="I278" s="8" t="s">
        <v>241</v>
      </c>
      <c r="J278" s="9">
        <v>45021</v>
      </c>
      <c r="K278" s="58"/>
      <c r="L278" s="16" t="s">
        <v>317</v>
      </c>
      <c r="M278" s="9">
        <f t="shared" si="75"/>
        <v>45031</v>
      </c>
      <c r="N278" s="8"/>
      <c r="O278" s="8" t="s">
        <v>47</v>
      </c>
      <c r="P278" s="9">
        <f t="shared" si="76"/>
        <v>45027</v>
      </c>
      <c r="Q278" s="9"/>
      <c r="R278" s="9">
        <f t="shared" si="77"/>
        <v>45030</v>
      </c>
      <c r="S278" s="9"/>
      <c r="T278" s="9">
        <f t="shared" si="78"/>
        <v>45033</v>
      </c>
      <c r="U278" s="9"/>
      <c r="V278" s="8"/>
      <c r="W278" s="17">
        <v>45073</v>
      </c>
      <c r="X278" s="17"/>
      <c r="Y278" s="8"/>
      <c r="Z278" s="17">
        <v>45077</v>
      </c>
      <c r="AA278" s="9"/>
      <c r="AB278" s="8"/>
      <c r="AC278" s="8"/>
      <c r="AD278" s="8"/>
      <c r="AE278" s="8"/>
      <c r="AF278" s="16"/>
    </row>
    <row r="279" spans="1:32" ht="45">
      <c r="A279" s="8">
        <v>275</v>
      </c>
      <c r="B279" s="55"/>
      <c r="C279" s="8" t="s">
        <v>339</v>
      </c>
      <c r="D279" s="8" t="s">
        <v>270</v>
      </c>
      <c r="E279" s="8" t="s">
        <v>42</v>
      </c>
      <c r="F279" s="9" t="s">
        <v>66</v>
      </c>
      <c r="G279" s="9" t="s">
        <v>66</v>
      </c>
      <c r="H279" s="26" t="s">
        <v>240</v>
      </c>
      <c r="I279" s="8" t="s">
        <v>241</v>
      </c>
      <c r="J279" s="9">
        <v>45046</v>
      </c>
      <c r="K279" s="58" t="s">
        <v>340</v>
      </c>
      <c r="L279" s="16" t="s">
        <v>317</v>
      </c>
      <c r="M279" s="9">
        <f t="shared" si="75"/>
        <v>45056</v>
      </c>
      <c r="N279" s="8"/>
      <c r="O279" s="8" t="s">
        <v>47</v>
      </c>
      <c r="P279" s="9">
        <f t="shared" si="76"/>
        <v>45052</v>
      </c>
      <c r="Q279" s="9"/>
      <c r="R279" s="9">
        <f t="shared" si="77"/>
        <v>45055</v>
      </c>
      <c r="S279" s="9"/>
      <c r="T279" s="9">
        <f t="shared" si="78"/>
        <v>45058</v>
      </c>
      <c r="U279" s="9"/>
      <c r="V279" s="8"/>
      <c r="W279" s="17">
        <v>45073</v>
      </c>
      <c r="X279" s="17"/>
      <c r="Y279" s="8"/>
      <c r="Z279" s="17">
        <v>45077</v>
      </c>
      <c r="AA279" s="9"/>
      <c r="AB279" s="8"/>
      <c r="AC279" s="8"/>
      <c r="AD279" s="8"/>
      <c r="AE279" s="8"/>
      <c r="AF279" s="16"/>
    </row>
    <row r="280" spans="1:32" ht="45">
      <c r="A280" s="8">
        <v>276</v>
      </c>
      <c r="B280" s="55"/>
      <c r="C280" s="8" t="s">
        <v>341</v>
      </c>
      <c r="D280" s="8" t="s">
        <v>270</v>
      </c>
      <c r="E280" s="8" t="s">
        <v>42</v>
      </c>
      <c r="F280" s="9" t="s">
        <v>66</v>
      </c>
      <c r="G280" s="9" t="s">
        <v>66</v>
      </c>
      <c r="H280" s="26" t="s">
        <v>240</v>
      </c>
      <c r="I280" s="8" t="s">
        <v>241</v>
      </c>
      <c r="J280" s="9">
        <v>45046</v>
      </c>
      <c r="K280" s="58"/>
      <c r="L280" s="16" t="s">
        <v>317</v>
      </c>
      <c r="M280" s="9">
        <f t="shared" si="75"/>
        <v>45056</v>
      </c>
      <c r="N280" s="8"/>
      <c r="O280" s="8" t="s">
        <v>47</v>
      </c>
      <c r="P280" s="9">
        <f t="shared" si="76"/>
        <v>45052</v>
      </c>
      <c r="Q280" s="9"/>
      <c r="R280" s="9">
        <f t="shared" si="77"/>
        <v>45055</v>
      </c>
      <c r="S280" s="9"/>
      <c r="T280" s="9">
        <f t="shared" si="78"/>
        <v>45058</v>
      </c>
      <c r="U280" s="9"/>
      <c r="V280" s="8"/>
      <c r="W280" s="17">
        <v>45073</v>
      </c>
      <c r="X280" s="17"/>
      <c r="Y280" s="8"/>
      <c r="Z280" s="17">
        <v>45077</v>
      </c>
      <c r="AA280" s="9"/>
      <c r="AB280" s="8"/>
      <c r="AC280" s="8"/>
      <c r="AD280" s="8"/>
      <c r="AE280" s="8"/>
      <c r="AF280" s="16"/>
    </row>
    <row r="281" spans="1:32" ht="45">
      <c r="A281" s="8">
        <v>277</v>
      </c>
      <c r="B281" s="55"/>
      <c r="C281" s="8" t="s">
        <v>342</v>
      </c>
      <c r="D281" s="8" t="s">
        <v>270</v>
      </c>
      <c r="E281" s="8" t="s">
        <v>42</v>
      </c>
      <c r="F281" s="9" t="s">
        <v>66</v>
      </c>
      <c r="G281" s="9" t="s">
        <v>66</v>
      </c>
      <c r="H281" s="26" t="s">
        <v>240</v>
      </c>
      <c r="I281" s="8" t="s">
        <v>241</v>
      </c>
      <c r="J281" s="9">
        <v>45061</v>
      </c>
      <c r="K281" s="58" t="s">
        <v>284</v>
      </c>
      <c r="L281" s="16" t="s">
        <v>317</v>
      </c>
      <c r="M281" s="9">
        <f t="shared" si="75"/>
        <v>45071</v>
      </c>
      <c r="N281" s="8"/>
      <c r="O281" s="8" t="s">
        <v>47</v>
      </c>
      <c r="P281" s="9">
        <f t="shared" si="76"/>
        <v>45067</v>
      </c>
      <c r="Q281" s="9"/>
      <c r="R281" s="9">
        <f t="shared" si="77"/>
        <v>45070</v>
      </c>
      <c r="S281" s="9"/>
      <c r="T281" s="9">
        <f t="shared" si="78"/>
        <v>45073</v>
      </c>
      <c r="U281" s="9"/>
      <c r="V281" s="8"/>
      <c r="W281" s="17">
        <v>45073</v>
      </c>
      <c r="X281" s="17"/>
      <c r="Y281" s="8"/>
      <c r="Z281" s="17">
        <v>45077</v>
      </c>
      <c r="AA281" s="9"/>
      <c r="AB281" s="8"/>
      <c r="AC281" s="8"/>
      <c r="AD281" s="8"/>
      <c r="AE281" s="8"/>
      <c r="AF281" s="16"/>
    </row>
    <row r="282" spans="1:32" ht="45">
      <c r="A282" s="8">
        <v>278</v>
      </c>
      <c r="B282" s="55"/>
      <c r="C282" s="8" t="s">
        <v>343</v>
      </c>
      <c r="D282" s="8" t="s">
        <v>270</v>
      </c>
      <c r="E282" s="8" t="s">
        <v>42</v>
      </c>
      <c r="F282" s="9" t="s">
        <v>66</v>
      </c>
      <c r="G282" s="9" t="s">
        <v>66</v>
      </c>
      <c r="H282" s="26" t="s">
        <v>240</v>
      </c>
      <c r="I282" s="8" t="s">
        <v>241</v>
      </c>
      <c r="J282" s="9">
        <v>45061</v>
      </c>
      <c r="K282" s="58"/>
      <c r="L282" s="16" t="s">
        <v>317</v>
      </c>
      <c r="M282" s="9">
        <f t="shared" si="75"/>
        <v>45071</v>
      </c>
      <c r="N282" s="8"/>
      <c r="O282" s="8" t="s">
        <v>47</v>
      </c>
      <c r="P282" s="9">
        <f t="shared" si="76"/>
        <v>45067</v>
      </c>
      <c r="Q282" s="9"/>
      <c r="R282" s="9">
        <f t="shared" si="77"/>
        <v>45070</v>
      </c>
      <c r="S282" s="9"/>
      <c r="T282" s="9">
        <f t="shared" si="78"/>
        <v>45073</v>
      </c>
      <c r="U282" s="9"/>
      <c r="V282" s="8"/>
      <c r="W282" s="17">
        <v>45073</v>
      </c>
      <c r="X282" s="17"/>
      <c r="Y282" s="8"/>
      <c r="Z282" s="17">
        <v>45077</v>
      </c>
      <c r="AA282" s="9"/>
      <c r="AB282" s="8"/>
      <c r="AC282" s="8"/>
      <c r="AD282" s="8"/>
      <c r="AE282" s="8"/>
      <c r="AF282" s="16"/>
    </row>
    <row r="283" spans="1:32" ht="45">
      <c r="A283" s="8">
        <v>279</v>
      </c>
      <c r="B283" s="55"/>
      <c r="C283" s="8" t="s">
        <v>344</v>
      </c>
      <c r="D283" s="8" t="s">
        <v>270</v>
      </c>
      <c r="E283" s="8" t="s">
        <v>42</v>
      </c>
      <c r="F283" s="9" t="s">
        <v>66</v>
      </c>
      <c r="G283" s="9" t="s">
        <v>66</v>
      </c>
      <c r="H283" s="26" t="s">
        <v>240</v>
      </c>
      <c r="I283" s="8" t="s">
        <v>241</v>
      </c>
      <c r="J283" s="9">
        <v>45061</v>
      </c>
      <c r="K283" s="58"/>
      <c r="L283" s="16" t="s">
        <v>317</v>
      </c>
      <c r="M283" s="9">
        <f t="shared" si="75"/>
        <v>45071</v>
      </c>
      <c r="N283" s="8"/>
      <c r="O283" s="8" t="s">
        <v>47</v>
      </c>
      <c r="P283" s="9">
        <f t="shared" si="76"/>
        <v>45067</v>
      </c>
      <c r="Q283" s="9"/>
      <c r="R283" s="9">
        <f t="shared" si="77"/>
        <v>45070</v>
      </c>
      <c r="S283" s="9"/>
      <c r="T283" s="9">
        <f t="shared" si="78"/>
        <v>45073</v>
      </c>
      <c r="U283" s="9"/>
      <c r="V283" s="8"/>
      <c r="W283" s="17">
        <v>45073</v>
      </c>
      <c r="X283" s="17"/>
      <c r="Y283" s="8"/>
      <c r="Z283" s="17">
        <v>45077</v>
      </c>
      <c r="AA283" s="9"/>
      <c r="AB283" s="8"/>
      <c r="AC283" s="8"/>
      <c r="AD283" s="8"/>
      <c r="AE283" s="8"/>
      <c r="AF283" s="16"/>
    </row>
    <row r="284" spans="1:32" ht="45">
      <c r="A284" s="8">
        <v>280</v>
      </c>
      <c r="B284" s="55"/>
      <c r="C284" s="8" t="s">
        <v>345</v>
      </c>
      <c r="D284" s="8" t="s">
        <v>270</v>
      </c>
      <c r="E284" s="8" t="s">
        <v>42</v>
      </c>
      <c r="F284" s="9" t="s">
        <v>66</v>
      </c>
      <c r="G284" s="9" t="s">
        <v>66</v>
      </c>
      <c r="H284" s="26" t="s">
        <v>240</v>
      </c>
      <c r="I284" s="8" t="s">
        <v>241</v>
      </c>
      <c r="J284" s="9">
        <v>45061</v>
      </c>
      <c r="K284" s="58"/>
      <c r="L284" s="16" t="s">
        <v>317</v>
      </c>
      <c r="M284" s="9">
        <f t="shared" si="75"/>
        <v>45071</v>
      </c>
      <c r="N284" s="8"/>
      <c r="O284" s="8" t="s">
        <v>47</v>
      </c>
      <c r="P284" s="9">
        <f t="shared" si="76"/>
        <v>45067</v>
      </c>
      <c r="Q284" s="9"/>
      <c r="R284" s="9">
        <f t="shared" si="77"/>
        <v>45070</v>
      </c>
      <c r="S284" s="9"/>
      <c r="T284" s="9">
        <f t="shared" si="78"/>
        <v>45073</v>
      </c>
      <c r="U284" s="9"/>
      <c r="V284" s="8"/>
      <c r="W284" s="17">
        <v>45073</v>
      </c>
      <c r="X284" s="17"/>
      <c r="Y284" s="8"/>
      <c r="Z284" s="17">
        <v>45077</v>
      </c>
      <c r="AA284" s="9"/>
      <c r="AB284" s="8"/>
      <c r="AC284" s="8"/>
      <c r="AD284" s="8"/>
      <c r="AE284" s="8"/>
      <c r="AF284" s="16"/>
    </row>
    <row r="285" spans="1:32" ht="45">
      <c r="A285" s="8">
        <v>281</v>
      </c>
      <c r="B285" s="55"/>
      <c r="C285" s="8" t="s">
        <v>346</v>
      </c>
      <c r="D285" s="8" t="s">
        <v>270</v>
      </c>
      <c r="E285" s="8" t="s">
        <v>42</v>
      </c>
      <c r="F285" s="9" t="s">
        <v>66</v>
      </c>
      <c r="G285" s="9" t="s">
        <v>66</v>
      </c>
      <c r="H285" s="26" t="s">
        <v>240</v>
      </c>
      <c r="I285" s="8" t="s">
        <v>241</v>
      </c>
      <c r="J285" s="9">
        <v>45061</v>
      </c>
      <c r="K285" s="58"/>
      <c r="L285" s="16" t="s">
        <v>317</v>
      </c>
      <c r="M285" s="9">
        <f t="shared" si="75"/>
        <v>45071</v>
      </c>
      <c r="N285" s="8"/>
      <c r="O285" s="8" t="s">
        <v>47</v>
      </c>
      <c r="P285" s="9">
        <f t="shared" si="76"/>
        <v>45067</v>
      </c>
      <c r="Q285" s="9"/>
      <c r="R285" s="9">
        <f t="shared" si="77"/>
        <v>45070</v>
      </c>
      <c r="S285" s="9"/>
      <c r="T285" s="9">
        <f t="shared" si="78"/>
        <v>45073</v>
      </c>
      <c r="U285" s="9"/>
      <c r="V285" s="8"/>
      <c r="W285" s="17">
        <v>45073</v>
      </c>
      <c r="X285" s="17"/>
      <c r="Y285" s="8"/>
      <c r="Z285" s="17">
        <v>45077</v>
      </c>
      <c r="AA285" s="9"/>
      <c r="AB285" s="8"/>
      <c r="AC285" s="8"/>
      <c r="AD285" s="8"/>
      <c r="AE285" s="8"/>
      <c r="AF285" s="16"/>
    </row>
    <row r="286" spans="1:32" ht="45">
      <c r="A286" s="8">
        <v>282</v>
      </c>
      <c r="B286" s="55"/>
      <c r="C286" s="8" t="s">
        <v>347</v>
      </c>
      <c r="D286" s="8" t="s">
        <v>270</v>
      </c>
      <c r="E286" s="8" t="s">
        <v>42</v>
      </c>
      <c r="F286" s="9" t="s">
        <v>66</v>
      </c>
      <c r="G286" s="9" t="s">
        <v>66</v>
      </c>
      <c r="H286" s="26" t="s">
        <v>240</v>
      </c>
      <c r="I286" s="8" t="s">
        <v>241</v>
      </c>
      <c r="J286" s="9">
        <v>45061</v>
      </c>
      <c r="K286" s="58"/>
      <c r="L286" s="16" t="s">
        <v>317</v>
      </c>
      <c r="M286" s="9">
        <f t="shared" si="75"/>
        <v>45071</v>
      </c>
      <c r="N286" s="8"/>
      <c r="O286" s="8" t="s">
        <v>47</v>
      </c>
      <c r="P286" s="9">
        <f t="shared" si="76"/>
        <v>45067</v>
      </c>
      <c r="Q286" s="9"/>
      <c r="R286" s="9">
        <f t="shared" si="77"/>
        <v>45070</v>
      </c>
      <c r="S286" s="9"/>
      <c r="T286" s="9">
        <f t="shared" si="78"/>
        <v>45073</v>
      </c>
      <c r="U286" s="9"/>
      <c r="V286" s="8"/>
      <c r="W286" s="17">
        <v>45073</v>
      </c>
      <c r="X286" s="17"/>
      <c r="Y286" s="8"/>
      <c r="Z286" s="17">
        <v>45077</v>
      </c>
      <c r="AA286" s="9"/>
      <c r="AB286" s="8"/>
      <c r="AC286" s="8"/>
      <c r="AD286" s="8"/>
      <c r="AE286" s="8"/>
      <c r="AF286" s="16"/>
    </row>
    <row r="287" spans="1:32" ht="45">
      <c r="A287" s="8">
        <v>283</v>
      </c>
      <c r="B287" s="55"/>
      <c r="C287" s="8" t="s">
        <v>348</v>
      </c>
      <c r="D287" s="8" t="s">
        <v>270</v>
      </c>
      <c r="E287" s="8" t="s">
        <v>42</v>
      </c>
      <c r="F287" s="9" t="s">
        <v>66</v>
      </c>
      <c r="G287" s="9" t="s">
        <v>66</v>
      </c>
      <c r="H287" s="26" t="s">
        <v>240</v>
      </c>
      <c r="I287" s="8" t="s">
        <v>241</v>
      </c>
      <c r="J287" s="9">
        <v>45061</v>
      </c>
      <c r="K287" s="58"/>
      <c r="L287" s="16" t="s">
        <v>317</v>
      </c>
      <c r="M287" s="9">
        <f t="shared" si="75"/>
        <v>45071</v>
      </c>
      <c r="N287" s="8"/>
      <c r="O287" s="8" t="s">
        <v>47</v>
      </c>
      <c r="P287" s="9">
        <f t="shared" si="76"/>
        <v>45067</v>
      </c>
      <c r="Q287" s="9"/>
      <c r="R287" s="9">
        <f t="shared" si="77"/>
        <v>45070</v>
      </c>
      <c r="S287" s="9"/>
      <c r="T287" s="9">
        <f t="shared" si="78"/>
        <v>45073</v>
      </c>
      <c r="U287" s="9"/>
      <c r="V287" s="8"/>
      <c r="W287" s="17">
        <v>45073</v>
      </c>
      <c r="X287" s="17"/>
      <c r="Y287" s="8"/>
      <c r="Z287" s="17">
        <v>45077</v>
      </c>
      <c r="AA287" s="9"/>
      <c r="AB287" s="8"/>
      <c r="AC287" s="8"/>
      <c r="AD287" s="8"/>
      <c r="AE287" s="8"/>
      <c r="AF287" s="16"/>
    </row>
    <row r="288" spans="1:32" ht="45">
      <c r="A288" s="8">
        <v>284</v>
      </c>
      <c r="B288" s="55"/>
      <c r="C288" s="8" t="s">
        <v>349</v>
      </c>
      <c r="D288" s="8" t="s">
        <v>270</v>
      </c>
      <c r="E288" s="8" t="s">
        <v>42</v>
      </c>
      <c r="F288" s="9" t="s">
        <v>66</v>
      </c>
      <c r="G288" s="9" t="s">
        <v>66</v>
      </c>
      <c r="H288" s="26" t="s">
        <v>240</v>
      </c>
      <c r="I288" s="8" t="s">
        <v>241</v>
      </c>
      <c r="J288" s="9">
        <v>45061</v>
      </c>
      <c r="K288" s="58"/>
      <c r="L288" s="16" t="s">
        <v>317</v>
      </c>
      <c r="M288" s="9">
        <f t="shared" si="75"/>
        <v>45071</v>
      </c>
      <c r="N288" s="8"/>
      <c r="O288" s="8" t="s">
        <v>47</v>
      </c>
      <c r="P288" s="9">
        <f t="shared" si="76"/>
        <v>45067</v>
      </c>
      <c r="Q288" s="9"/>
      <c r="R288" s="9">
        <f t="shared" si="77"/>
        <v>45070</v>
      </c>
      <c r="S288" s="9"/>
      <c r="T288" s="9">
        <f t="shared" si="78"/>
        <v>45073</v>
      </c>
      <c r="U288" s="9"/>
      <c r="V288" s="8"/>
      <c r="W288" s="17">
        <v>45073</v>
      </c>
      <c r="X288" s="17"/>
      <c r="Y288" s="8"/>
      <c r="Z288" s="17">
        <v>45077</v>
      </c>
      <c r="AA288" s="9"/>
      <c r="AB288" s="8"/>
      <c r="AC288" s="8"/>
      <c r="AD288" s="8"/>
      <c r="AE288" s="8"/>
      <c r="AF288" s="16"/>
    </row>
    <row r="289" spans="1:32" ht="45">
      <c r="A289" s="8">
        <v>285</v>
      </c>
      <c r="B289" s="55"/>
      <c r="C289" s="8" t="s">
        <v>350</v>
      </c>
      <c r="D289" s="8" t="s">
        <v>270</v>
      </c>
      <c r="E289" s="8" t="s">
        <v>42</v>
      </c>
      <c r="F289" s="9" t="s">
        <v>66</v>
      </c>
      <c r="G289" s="9" t="s">
        <v>66</v>
      </c>
      <c r="H289" s="26" t="s">
        <v>240</v>
      </c>
      <c r="I289" s="8" t="s">
        <v>241</v>
      </c>
      <c r="J289" s="11">
        <v>45066</v>
      </c>
      <c r="K289" s="15" t="s">
        <v>351</v>
      </c>
      <c r="L289" s="16" t="s">
        <v>317</v>
      </c>
      <c r="M289" s="9">
        <f t="shared" si="75"/>
        <v>45076</v>
      </c>
      <c r="N289" s="8"/>
      <c r="O289" s="8" t="s">
        <v>47</v>
      </c>
      <c r="P289" s="9">
        <f t="shared" si="76"/>
        <v>45072</v>
      </c>
      <c r="Q289" s="9"/>
      <c r="R289" s="9">
        <f t="shared" si="77"/>
        <v>45075</v>
      </c>
      <c r="S289" s="9"/>
      <c r="T289" s="9">
        <f t="shared" si="78"/>
        <v>45078</v>
      </c>
      <c r="U289" s="9"/>
      <c r="V289" s="8"/>
      <c r="W289" s="17">
        <v>45073</v>
      </c>
      <c r="X289" s="17"/>
      <c r="Y289" s="8"/>
      <c r="Z289" s="17">
        <v>45077</v>
      </c>
      <c r="AA289" s="9"/>
      <c r="AB289" s="8"/>
      <c r="AC289" s="8"/>
      <c r="AD289" s="8"/>
      <c r="AE289" s="8"/>
      <c r="AF289" s="16"/>
    </row>
    <row r="290" spans="1:32" ht="15" hidden="1">
      <c r="A290" s="8">
        <v>286</v>
      </c>
      <c r="B290" s="55" t="s">
        <v>352</v>
      </c>
      <c r="C290" s="24" t="s">
        <v>353</v>
      </c>
      <c r="D290" s="8"/>
      <c r="E290" s="8"/>
      <c r="F290" s="9"/>
      <c r="G290" s="9"/>
      <c r="H290" s="26"/>
      <c r="I290" s="8"/>
      <c r="J290" s="11"/>
      <c r="K290" s="15"/>
      <c r="L290" s="16"/>
      <c r="M290" s="9"/>
      <c r="N290" s="8"/>
      <c r="O290" s="8"/>
      <c r="P290" s="9"/>
      <c r="Q290" s="9"/>
      <c r="R290" s="9"/>
      <c r="S290" s="9"/>
      <c r="T290" s="9"/>
      <c r="U290" s="9"/>
      <c r="V290" s="8"/>
      <c r="W290" s="17"/>
      <c r="X290" s="17"/>
      <c r="Y290" s="8"/>
      <c r="Z290" s="17"/>
      <c r="AA290" s="9"/>
      <c r="AB290" s="8"/>
      <c r="AC290" s="8"/>
      <c r="AD290" s="8"/>
      <c r="AE290" s="8"/>
      <c r="AF290" s="16"/>
    </row>
    <row r="291" spans="1:32" ht="30">
      <c r="A291" s="8">
        <v>287</v>
      </c>
      <c r="B291" s="55"/>
      <c r="C291" s="8" t="s">
        <v>354</v>
      </c>
      <c r="D291" s="8" t="s">
        <v>355</v>
      </c>
      <c r="E291" s="8" t="s">
        <v>42</v>
      </c>
      <c r="F291" s="9" t="s">
        <v>66</v>
      </c>
      <c r="G291" s="9" t="s">
        <v>66</v>
      </c>
      <c r="H291" s="26" t="s">
        <v>240</v>
      </c>
      <c r="I291" s="8" t="s">
        <v>241</v>
      </c>
      <c r="J291" s="9">
        <v>45021</v>
      </c>
      <c r="K291" s="58" t="s">
        <v>264</v>
      </c>
      <c r="L291" s="16" t="s">
        <v>317</v>
      </c>
      <c r="M291" s="9">
        <f t="shared" ref="M291:M295" si="79">J291+10</f>
        <v>45031</v>
      </c>
      <c r="N291" s="8"/>
      <c r="O291" s="8" t="s">
        <v>47</v>
      </c>
      <c r="P291" s="9">
        <f t="shared" ref="P291:P295" si="80">J291+6</f>
        <v>45027</v>
      </c>
      <c r="Q291" s="9"/>
      <c r="R291" s="9">
        <f t="shared" ref="R291:R295" si="81">J291+9</f>
        <v>45030</v>
      </c>
      <c r="S291" s="9"/>
      <c r="T291" s="9">
        <f t="shared" ref="T291:T295" si="82">J291+12</f>
        <v>45033</v>
      </c>
      <c r="U291" s="9"/>
      <c r="V291" s="8"/>
      <c r="W291" s="17">
        <v>45073</v>
      </c>
      <c r="X291" s="17"/>
      <c r="Y291" s="8"/>
      <c r="Z291" s="17">
        <v>45077</v>
      </c>
      <c r="AA291" s="9"/>
      <c r="AB291" s="8"/>
      <c r="AC291" s="8"/>
      <c r="AD291" s="8"/>
      <c r="AE291" s="16"/>
      <c r="AF291" s="8"/>
    </row>
    <row r="292" spans="1:32" ht="30">
      <c r="A292" s="8">
        <v>288</v>
      </c>
      <c r="B292" s="55"/>
      <c r="C292" s="8" t="s">
        <v>356</v>
      </c>
      <c r="D292" s="8" t="s">
        <v>355</v>
      </c>
      <c r="E292" s="8" t="s">
        <v>42</v>
      </c>
      <c r="F292" s="9" t="s">
        <v>66</v>
      </c>
      <c r="G292" s="9" t="s">
        <v>66</v>
      </c>
      <c r="H292" s="26" t="s">
        <v>240</v>
      </c>
      <c r="I292" s="8" t="s">
        <v>241</v>
      </c>
      <c r="J292" s="9">
        <v>45021</v>
      </c>
      <c r="K292" s="58"/>
      <c r="L292" s="16" t="s">
        <v>317</v>
      </c>
      <c r="M292" s="9">
        <f t="shared" si="79"/>
        <v>45031</v>
      </c>
      <c r="N292" s="8"/>
      <c r="O292" s="8" t="s">
        <v>47</v>
      </c>
      <c r="P292" s="9">
        <f t="shared" si="80"/>
        <v>45027</v>
      </c>
      <c r="Q292" s="9"/>
      <c r="R292" s="9">
        <f t="shared" si="81"/>
        <v>45030</v>
      </c>
      <c r="S292" s="9"/>
      <c r="T292" s="9">
        <f t="shared" si="82"/>
        <v>45033</v>
      </c>
      <c r="U292" s="9"/>
      <c r="V292" s="8"/>
      <c r="W292" s="17">
        <v>45073</v>
      </c>
      <c r="X292" s="17"/>
      <c r="Y292" s="8"/>
      <c r="Z292" s="17">
        <v>45077</v>
      </c>
      <c r="AA292" s="9"/>
      <c r="AB292" s="8"/>
      <c r="AC292" s="8"/>
      <c r="AD292" s="8"/>
      <c r="AE292" s="16"/>
      <c r="AF292" s="8"/>
    </row>
    <row r="293" spans="1:32" ht="30">
      <c r="A293" s="8">
        <v>289</v>
      </c>
      <c r="B293" s="55"/>
      <c r="C293" s="8" t="s">
        <v>357</v>
      </c>
      <c r="D293" s="8" t="s">
        <v>355</v>
      </c>
      <c r="E293" s="8" t="s">
        <v>42</v>
      </c>
      <c r="F293" s="9" t="s">
        <v>66</v>
      </c>
      <c r="G293" s="9" t="s">
        <v>66</v>
      </c>
      <c r="H293" s="26" t="s">
        <v>240</v>
      </c>
      <c r="I293" s="8" t="s">
        <v>241</v>
      </c>
      <c r="J293" s="9">
        <v>45021</v>
      </c>
      <c r="K293" s="15" t="s">
        <v>358</v>
      </c>
      <c r="L293" s="16" t="s">
        <v>317</v>
      </c>
      <c r="M293" s="9">
        <f t="shared" si="79"/>
        <v>45031</v>
      </c>
      <c r="N293" s="8"/>
      <c r="O293" s="8" t="s">
        <v>47</v>
      </c>
      <c r="P293" s="9">
        <f t="shared" si="80"/>
        <v>45027</v>
      </c>
      <c r="Q293" s="9"/>
      <c r="R293" s="9">
        <f t="shared" si="81"/>
        <v>45030</v>
      </c>
      <c r="S293" s="9"/>
      <c r="T293" s="9">
        <f t="shared" si="82"/>
        <v>45033</v>
      </c>
      <c r="U293" s="9"/>
      <c r="V293" s="8"/>
      <c r="W293" s="17">
        <v>45073</v>
      </c>
      <c r="X293" s="17"/>
      <c r="Y293" s="8"/>
      <c r="Z293" s="17">
        <v>45077</v>
      </c>
      <c r="AA293" s="9"/>
      <c r="AB293" s="8"/>
      <c r="AC293" s="8"/>
      <c r="AD293" s="8"/>
      <c r="AE293" s="16"/>
      <c r="AF293" s="8"/>
    </row>
    <row r="294" spans="1:32" ht="30">
      <c r="A294" s="8">
        <v>290</v>
      </c>
      <c r="B294" s="55"/>
      <c r="C294" s="8" t="s">
        <v>359</v>
      </c>
      <c r="D294" s="8" t="s">
        <v>355</v>
      </c>
      <c r="E294" s="8" t="s">
        <v>42</v>
      </c>
      <c r="F294" s="9" t="s">
        <v>66</v>
      </c>
      <c r="G294" s="9" t="s">
        <v>66</v>
      </c>
      <c r="H294" s="26" t="s">
        <v>240</v>
      </c>
      <c r="I294" s="8" t="s">
        <v>241</v>
      </c>
      <c r="J294" s="9">
        <v>45021</v>
      </c>
      <c r="K294" s="58" t="s">
        <v>264</v>
      </c>
      <c r="L294" s="16" t="s">
        <v>317</v>
      </c>
      <c r="M294" s="9">
        <f t="shared" si="79"/>
        <v>45031</v>
      </c>
      <c r="N294" s="8"/>
      <c r="O294" s="8" t="s">
        <v>47</v>
      </c>
      <c r="P294" s="9">
        <f t="shared" si="80"/>
        <v>45027</v>
      </c>
      <c r="Q294" s="9"/>
      <c r="R294" s="9">
        <f t="shared" si="81"/>
        <v>45030</v>
      </c>
      <c r="S294" s="9"/>
      <c r="T294" s="9">
        <f t="shared" si="82"/>
        <v>45033</v>
      </c>
      <c r="U294" s="9"/>
      <c r="V294" s="8"/>
      <c r="W294" s="17">
        <v>45073</v>
      </c>
      <c r="X294" s="17"/>
      <c r="Y294" s="8"/>
      <c r="Z294" s="17">
        <v>45077</v>
      </c>
      <c r="AA294" s="9"/>
      <c r="AB294" s="8"/>
      <c r="AC294" s="8"/>
      <c r="AD294" s="8"/>
      <c r="AE294" s="16"/>
      <c r="AF294" s="8"/>
    </row>
    <row r="295" spans="1:32" ht="30">
      <c r="A295" s="8">
        <v>291</v>
      </c>
      <c r="B295" s="55"/>
      <c r="C295" s="8" t="s">
        <v>360</v>
      </c>
      <c r="D295" s="8" t="s">
        <v>355</v>
      </c>
      <c r="E295" s="8" t="s">
        <v>42</v>
      </c>
      <c r="F295" s="9" t="s">
        <v>66</v>
      </c>
      <c r="G295" s="9" t="s">
        <v>66</v>
      </c>
      <c r="H295" s="26" t="s">
        <v>240</v>
      </c>
      <c r="I295" s="8" t="s">
        <v>241</v>
      </c>
      <c r="J295" s="9">
        <v>45021</v>
      </c>
      <c r="K295" s="58"/>
      <c r="L295" s="16" t="s">
        <v>317</v>
      </c>
      <c r="M295" s="9">
        <f t="shared" si="79"/>
        <v>45031</v>
      </c>
      <c r="N295" s="8"/>
      <c r="O295" s="8" t="s">
        <v>47</v>
      </c>
      <c r="P295" s="9">
        <f t="shared" si="80"/>
        <v>45027</v>
      </c>
      <c r="Q295" s="9"/>
      <c r="R295" s="9">
        <f t="shared" si="81"/>
        <v>45030</v>
      </c>
      <c r="S295" s="9"/>
      <c r="T295" s="9">
        <f t="shared" si="82"/>
        <v>45033</v>
      </c>
      <c r="U295" s="9"/>
      <c r="V295" s="8"/>
      <c r="W295" s="17">
        <v>45073</v>
      </c>
      <c r="X295" s="17"/>
      <c r="Y295" s="8"/>
      <c r="Z295" s="17">
        <v>45077</v>
      </c>
      <c r="AA295" s="9"/>
      <c r="AB295" s="8"/>
      <c r="AC295" s="8"/>
      <c r="AD295" s="8"/>
      <c r="AE295" s="16"/>
      <c r="AF295" s="8"/>
    </row>
    <row r="296" spans="1:32" ht="45">
      <c r="A296" s="8">
        <v>292</v>
      </c>
      <c r="B296" s="55"/>
      <c r="C296" s="8" t="s">
        <v>361</v>
      </c>
      <c r="D296" s="8" t="s">
        <v>355</v>
      </c>
      <c r="E296" s="8" t="s">
        <v>42</v>
      </c>
      <c r="F296" s="9" t="s">
        <v>66</v>
      </c>
      <c r="G296" s="9" t="s">
        <v>66</v>
      </c>
      <c r="H296" s="26" t="s">
        <v>240</v>
      </c>
      <c r="I296" s="8" t="s">
        <v>241</v>
      </c>
      <c r="J296" s="9">
        <v>45046</v>
      </c>
      <c r="K296" s="15" t="s">
        <v>362</v>
      </c>
      <c r="L296" s="16" t="s">
        <v>317</v>
      </c>
      <c r="M296" s="9"/>
      <c r="N296" s="8"/>
      <c r="O296" s="8"/>
      <c r="P296" s="9"/>
      <c r="Q296" s="9"/>
      <c r="R296" s="9"/>
      <c r="S296" s="9"/>
      <c r="T296" s="9"/>
      <c r="U296" s="9"/>
      <c r="V296" s="8"/>
      <c r="W296" s="17"/>
      <c r="X296" s="17"/>
      <c r="Y296" s="8"/>
      <c r="Z296" s="17"/>
      <c r="AA296" s="9"/>
      <c r="AB296" s="8"/>
      <c r="AC296" s="8"/>
      <c r="AD296" s="8"/>
      <c r="AE296" s="16"/>
      <c r="AF296" s="8"/>
    </row>
    <row r="297" spans="1:32" ht="15" hidden="1">
      <c r="A297" s="8">
        <v>293</v>
      </c>
      <c r="B297" s="55"/>
      <c r="C297" s="24" t="s">
        <v>363</v>
      </c>
      <c r="D297" s="8"/>
      <c r="E297" s="8"/>
      <c r="F297" s="9"/>
      <c r="G297" s="9"/>
      <c r="H297" s="26"/>
      <c r="I297" s="8"/>
      <c r="J297" s="9"/>
      <c r="K297" s="15"/>
      <c r="L297" s="16"/>
      <c r="M297" s="9"/>
      <c r="N297" s="8"/>
      <c r="O297" s="8"/>
      <c r="P297" s="9"/>
      <c r="Q297" s="9"/>
      <c r="R297" s="9"/>
      <c r="S297" s="9"/>
      <c r="T297" s="9"/>
      <c r="U297" s="9"/>
      <c r="V297" s="8"/>
      <c r="W297" s="17"/>
      <c r="X297" s="17"/>
      <c r="Y297" s="8"/>
      <c r="Z297" s="17"/>
      <c r="AA297" s="9"/>
      <c r="AB297" s="8"/>
      <c r="AC297" s="8"/>
      <c r="AD297" s="8"/>
      <c r="AE297" s="16"/>
      <c r="AF297" s="8"/>
    </row>
    <row r="298" spans="1:32" ht="30">
      <c r="A298" s="8">
        <v>294</v>
      </c>
      <c r="B298" s="55"/>
      <c r="C298" s="27" t="s">
        <v>364</v>
      </c>
      <c r="D298" s="8" t="s">
        <v>355</v>
      </c>
      <c r="E298" s="8" t="s">
        <v>42</v>
      </c>
      <c r="F298" s="9" t="s">
        <v>66</v>
      </c>
      <c r="G298" s="9" t="s">
        <v>66</v>
      </c>
      <c r="H298" s="26" t="s">
        <v>240</v>
      </c>
      <c r="I298" s="8" t="s">
        <v>241</v>
      </c>
      <c r="J298" s="9">
        <v>45021</v>
      </c>
      <c r="K298" s="15" t="s">
        <v>264</v>
      </c>
      <c r="L298" s="16" t="s">
        <v>317</v>
      </c>
      <c r="M298" s="9">
        <f t="shared" ref="M298:M306" si="83">J298+10</f>
        <v>45031</v>
      </c>
      <c r="N298" s="8"/>
      <c r="O298" s="8" t="s">
        <v>47</v>
      </c>
      <c r="P298" s="9">
        <f t="shared" ref="P298:P306" si="84">J298+6</f>
        <v>45027</v>
      </c>
      <c r="Q298" s="9"/>
      <c r="R298" s="9">
        <f t="shared" ref="R298:R306" si="85">J298+9</f>
        <v>45030</v>
      </c>
      <c r="S298" s="9"/>
      <c r="T298" s="9">
        <f t="shared" ref="T298:T306" si="86">J298+12</f>
        <v>45033</v>
      </c>
      <c r="U298" s="9"/>
      <c r="V298" s="8"/>
      <c r="W298" s="17">
        <v>45073</v>
      </c>
      <c r="X298" s="17"/>
      <c r="Y298" s="8"/>
      <c r="Z298" s="17">
        <v>45077</v>
      </c>
      <c r="AA298" s="9"/>
      <c r="AB298" s="8"/>
      <c r="AC298" s="8"/>
      <c r="AD298" s="8"/>
      <c r="AE298" s="16"/>
      <c r="AF298" s="8"/>
    </row>
    <row r="299" spans="1:32" ht="30">
      <c r="A299" s="8">
        <v>295</v>
      </c>
      <c r="B299" s="55"/>
      <c r="C299" s="27" t="s">
        <v>365</v>
      </c>
      <c r="D299" s="8" t="s">
        <v>355</v>
      </c>
      <c r="E299" s="8" t="s">
        <v>42</v>
      </c>
      <c r="F299" s="9" t="s">
        <v>66</v>
      </c>
      <c r="G299" s="9" t="s">
        <v>66</v>
      </c>
      <c r="H299" s="26" t="s">
        <v>240</v>
      </c>
      <c r="I299" s="8" t="s">
        <v>241</v>
      </c>
      <c r="J299" s="9">
        <v>45061</v>
      </c>
      <c r="K299" s="58" t="s">
        <v>366</v>
      </c>
      <c r="L299" s="16" t="s">
        <v>317</v>
      </c>
      <c r="M299" s="9">
        <f t="shared" si="83"/>
        <v>45071</v>
      </c>
      <c r="N299" s="8"/>
      <c r="O299" s="8" t="s">
        <v>47</v>
      </c>
      <c r="P299" s="9">
        <f t="shared" si="84"/>
        <v>45067</v>
      </c>
      <c r="Q299" s="9"/>
      <c r="R299" s="9">
        <f t="shared" si="85"/>
        <v>45070</v>
      </c>
      <c r="S299" s="9"/>
      <c r="T299" s="9">
        <f t="shared" si="86"/>
        <v>45073</v>
      </c>
      <c r="U299" s="9"/>
      <c r="V299" s="8"/>
      <c r="W299" s="17">
        <v>45073</v>
      </c>
      <c r="X299" s="17"/>
      <c r="Y299" s="8"/>
      <c r="Z299" s="17">
        <v>45077</v>
      </c>
      <c r="AA299" s="9"/>
      <c r="AB299" s="8"/>
      <c r="AC299" s="8"/>
      <c r="AD299" s="8"/>
      <c r="AE299" s="16"/>
      <c r="AF299" s="8"/>
    </row>
    <row r="300" spans="1:32" ht="30">
      <c r="A300" s="8">
        <v>296</v>
      </c>
      <c r="B300" s="55"/>
      <c r="C300" s="27" t="s">
        <v>367</v>
      </c>
      <c r="D300" s="8" t="s">
        <v>355</v>
      </c>
      <c r="E300" s="8" t="s">
        <v>42</v>
      </c>
      <c r="F300" s="9" t="s">
        <v>66</v>
      </c>
      <c r="G300" s="9" t="s">
        <v>66</v>
      </c>
      <c r="H300" s="26" t="s">
        <v>240</v>
      </c>
      <c r="I300" s="8" t="s">
        <v>241</v>
      </c>
      <c r="J300" s="9">
        <v>45061</v>
      </c>
      <c r="K300" s="58"/>
      <c r="L300" s="16" t="s">
        <v>317</v>
      </c>
      <c r="M300" s="9">
        <f t="shared" si="83"/>
        <v>45071</v>
      </c>
      <c r="N300" s="8"/>
      <c r="O300" s="8" t="s">
        <v>47</v>
      </c>
      <c r="P300" s="9">
        <f t="shared" si="84"/>
        <v>45067</v>
      </c>
      <c r="Q300" s="9"/>
      <c r="R300" s="9">
        <f t="shared" si="85"/>
        <v>45070</v>
      </c>
      <c r="S300" s="9"/>
      <c r="T300" s="9">
        <f t="shared" si="86"/>
        <v>45073</v>
      </c>
      <c r="U300" s="9"/>
      <c r="V300" s="8"/>
      <c r="W300" s="17">
        <v>45073</v>
      </c>
      <c r="X300" s="17"/>
      <c r="Y300" s="8"/>
      <c r="Z300" s="17">
        <v>45077</v>
      </c>
      <c r="AA300" s="9"/>
      <c r="AB300" s="8"/>
      <c r="AC300" s="8"/>
      <c r="AD300" s="8"/>
      <c r="AE300" s="16"/>
      <c r="AF300" s="8"/>
    </row>
    <row r="301" spans="1:32" ht="30">
      <c r="A301" s="8">
        <v>297</v>
      </c>
      <c r="B301" s="55"/>
      <c r="C301" s="8" t="s">
        <v>368</v>
      </c>
      <c r="D301" s="8" t="s">
        <v>355</v>
      </c>
      <c r="E301" s="8" t="s">
        <v>42</v>
      </c>
      <c r="F301" s="9" t="s">
        <v>66</v>
      </c>
      <c r="G301" s="9" t="s">
        <v>66</v>
      </c>
      <c r="H301" s="26" t="s">
        <v>240</v>
      </c>
      <c r="I301" s="8" t="s">
        <v>241</v>
      </c>
      <c r="J301" s="9">
        <v>45061</v>
      </c>
      <c r="K301" s="58"/>
      <c r="L301" s="16" t="s">
        <v>317</v>
      </c>
      <c r="M301" s="9">
        <f t="shared" si="83"/>
        <v>45071</v>
      </c>
      <c r="N301" s="8"/>
      <c r="O301" s="8" t="s">
        <v>47</v>
      </c>
      <c r="P301" s="9">
        <f t="shared" si="84"/>
        <v>45067</v>
      </c>
      <c r="Q301" s="9"/>
      <c r="R301" s="9">
        <f t="shared" si="85"/>
        <v>45070</v>
      </c>
      <c r="S301" s="9"/>
      <c r="T301" s="9">
        <f t="shared" si="86"/>
        <v>45073</v>
      </c>
      <c r="U301" s="9"/>
      <c r="V301" s="8"/>
      <c r="W301" s="17">
        <v>45073</v>
      </c>
      <c r="X301" s="17"/>
      <c r="Y301" s="8"/>
      <c r="Z301" s="17">
        <v>45077</v>
      </c>
      <c r="AA301" s="9"/>
      <c r="AB301" s="8"/>
      <c r="AC301" s="8"/>
      <c r="AD301" s="8"/>
      <c r="AE301" s="16"/>
      <c r="AF301" s="8"/>
    </row>
    <row r="302" spans="1:32" ht="30">
      <c r="A302" s="8">
        <v>298</v>
      </c>
      <c r="B302" s="55"/>
      <c r="C302" s="8" t="s">
        <v>369</v>
      </c>
      <c r="D302" s="8" t="s">
        <v>355</v>
      </c>
      <c r="E302" s="8" t="s">
        <v>42</v>
      </c>
      <c r="F302" s="9" t="s">
        <v>66</v>
      </c>
      <c r="G302" s="9" t="s">
        <v>66</v>
      </c>
      <c r="H302" s="26" t="s">
        <v>240</v>
      </c>
      <c r="I302" s="8" t="s">
        <v>241</v>
      </c>
      <c r="J302" s="9">
        <v>45061</v>
      </c>
      <c r="K302" s="58"/>
      <c r="L302" s="16" t="s">
        <v>317</v>
      </c>
      <c r="M302" s="9">
        <f t="shared" si="83"/>
        <v>45071</v>
      </c>
      <c r="N302" s="8"/>
      <c r="O302" s="8" t="s">
        <v>47</v>
      </c>
      <c r="P302" s="9">
        <f t="shared" si="84"/>
        <v>45067</v>
      </c>
      <c r="Q302" s="9"/>
      <c r="R302" s="9">
        <f t="shared" si="85"/>
        <v>45070</v>
      </c>
      <c r="S302" s="9"/>
      <c r="T302" s="9">
        <f t="shared" si="86"/>
        <v>45073</v>
      </c>
      <c r="U302" s="9"/>
      <c r="V302" s="8"/>
      <c r="W302" s="17">
        <v>45073</v>
      </c>
      <c r="X302" s="17"/>
      <c r="Y302" s="8"/>
      <c r="Z302" s="17">
        <v>45077</v>
      </c>
      <c r="AA302" s="9"/>
      <c r="AB302" s="8"/>
      <c r="AC302" s="8"/>
      <c r="AD302" s="8"/>
      <c r="AE302" s="16"/>
      <c r="AF302" s="8"/>
    </row>
    <row r="303" spans="1:32" ht="30">
      <c r="A303" s="8">
        <v>299</v>
      </c>
      <c r="B303" s="55"/>
      <c r="C303" s="8" t="s">
        <v>370</v>
      </c>
      <c r="D303" s="8" t="s">
        <v>355</v>
      </c>
      <c r="E303" s="8" t="s">
        <v>42</v>
      </c>
      <c r="F303" s="9" t="s">
        <v>66</v>
      </c>
      <c r="G303" s="9" t="s">
        <v>66</v>
      </c>
      <c r="H303" s="26" t="s">
        <v>240</v>
      </c>
      <c r="I303" s="8" t="s">
        <v>241</v>
      </c>
      <c r="J303" s="9">
        <v>45061</v>
      </c>
      <c r="K303" s="58"/>
      <c r="L303" s="16" t="s">
        <v>317</v>
      </c>
      <c r="M303" s="9">
        <f t="shared" si="83"/>
        <v>45071</v>
      </c>
      <c r="N303" s="8"/>
      <c r="O303" s="8" t="s">
        <v>47</v>
      </c>
      <c r="P303" s="9">
        <f t="shared" si="84"/>
        <v>45067</v>
      </c>
      <c r="Q303" s="9"/>
      <c r="R303" s="9">
        <f t="shared" si="85"/>
        <v>45070</v>
      </c>
      <c r="S303" s="9"/>
      <c r="T303" s="9">
        <f t="shared" si="86"/>
        <v>45073</v>
      </c>
      <c r="U303" s="9"/>
      <c r="V303" s="8"/>
      <c r="W303" s="17">
        <v>45073</v>
      </c>
      <c r="X303" s="17"/>
      <c r="Y303" s="8"/>
      <c r="Z303" s="17">
        <v>45077</v>
      </c>
      <c r="AA303" s="9"/>
      <c r="AB303" s="8"/>
      <c r="AC303" s="8"/>
      <c r="AD303" s="8"/>
      <c r="AE303" s="16"/>
      <c r="AF303" s="8"/>
    </row>
    <row r="304" spans="1:32" ht="30">
      <c r="A304" s="8">
        <v>300</v>
      </c>
      <c r="B304" s="55"/>
      <c r="C304" s="8" t="s">
        <v>371</v>
      </c>
      <c r="D304" s="8" t="s">
        <v>355</v>
      </c>
      <c r="E304" s="8" t="s">
        <v>42</v>
      </c>
      <c r="F304" s="9" t="s">
        <v>66</v>
      </c>
      <c r="G304" s="9" t="s">
        <v>66</v>
      </c>
      <c r="H304" s="26" t="s">
        <v>240</v>
      </c>
      <c r="I304" s="8" t="s">
        <v>241</v>
      </c>
      <c r="J304" s="9">
        <v>45061</v>
      </c>
      <c r="K304" s="58"/>
      <c r="L304" s="16" t="s">
        <v>317</v>
      </c>
      <c r="M304" s="9">
        <f t="shared" si="83"/>
        <v>45071</v>
      </c>
      <c r="N304" s="8"/>
      <c r="O304" s="8" t="s">
        <v>47</v>
      </c>
      <c r="P304" s="9">
        <f t="shared" si="84"/>
        <v>45067</v>
      </c>
      <c r="Q304" s="9"/>
      <c r="R304" s="9">
        <f t="shared" si="85"/>
        <v>45070</v>
      </c>
      <c r="S304" s="9"/>
      <c r="T304" s="9">
        <f t="shared" si="86"/>
        <v>45073</v>
      </c>
      <c r="U304" s="9"/>
      <c r="V304" s="8"/>
      <c r="W304" s="17">
        <v>45073</v>
      </c>
      <c r="X304" s="17"/>
      <c r="Y304" s="8"/>
      <c r="Z304" s="17">
        <v>45077</v>
      </c>
      <c r="AA304" s="9"/>
      <c r="AB304" s="8"/>
      <c r="AC304" s="8"/>
      <c r="AD304" s="8"/>
      <c r="AE304" s="16"/>
      <c r="AF304" s="8"/>
    </row>
    <row r="305" spans="1:32" ht="30">
      <c r="A305" s="8">
        <v>301</v>
      </c>
      <c r="B305" s="55"/>
      <c r="C305" s="27" t="s">
        <v>372</v>
      </c>
      <c r="D305" s="8" t="s">
        <v>355</v>
      </c>
      <c r="E305" s="8" t="s">
        <v>42</v>
      </c>
      <c r="F305" s="9" t="s">
        <v>66</v>
      </c>
      <c r="G305" s="9" t="s">
        <v>66</v>
      </c>
      <c r="H305" s="26" t="s">
        <v>240</v>
      </c>
      <c r="I305" s="8" t="s">
        <v>241</v>
      </c>
      <c r="J305" s="11">
        <v>45064</v>
      </c>
      <c r="K305" s="15" t="s">
        <v>373</v>
      </c>
      <c r="L305" s="16" t="s">
        <v>317</v>
      </c>
      <c r="M305" s="9">
        <f t="shared" si="83"/>
        <v>45074</v>
      </c>
      <c r="N305" s="8"/>
      <c r="O305" s="8" t="s">
        <v>47</v>
      </c>
      <c r="P305" s="9">
        <f t="shared" si="84"/>
        <v>45070</v>
      </c>
      <c r="Q305" s="9"/>
      <c r="R305" s="9">
        <f t="shared" si="85"/>
        <v>45073</v>
      </c>
      <c r="S305" s="9"/>
      <c r="T305" s="9">
        <f t="shared" si="86"/>
        <v>45076</v>
      </c>
      <c r="U305" s="9"/>
      <c r="V305" s="8"/>
      <c r="W305" s="17">
        <v>45073</v>
      </c>
      <c r="X305" s="17"/>
      <c r="Y305" s="8"/>
      <c r="Z305" s="17">
        <v>45077</v>
      </c>
      <c r="AA305" s="9"/>
      <c r="AB305" s="8"/>
      <c r="AC305" s="8"/>
      <c r="AD305" s="8"/>
      <c r="AE305" s="8"/>
      <c r="AF305" s="8"/>
    </row>
    <row r="306" spans="1:32" ht="30">
      <c r="A306" s="8">
        <v>302</v>
      </c>
      <c r="B306" s="55"/>
      <c r="C306" s="27" t="s">
        <v>374</v>
      </c>
      <c r="D306" s="8" t="s">
        <v>355</v>
      </c>
      <c r="E306" s="8" t="s">
        <v>42</v>
      </c>
      <c r="F306" s="9" t="s">
        <v>66</v>
      </c>
      <c r="G306" s="9" t="s">
        <v>66</v>
      </c>
      <c r="H306" s="26" t="s">
        <v>240</v>
      </c>
      <c r="I306" s="8" t="s">
        <v>241</v>
      </c>
      <c r="J306" s="9">
        <v>45061</v>
      </c>
      <c r="K306" s="15" t="s">
        <v>375</v>
      </c>
      <c r="L306" s="16" t="s">
        <v>317</v>
      </c>
      <c r="M306" s="9">
        <f t="shared" si="83"/>
        <v>45071</v>
      </c>
      <c r="N306" s="8"/>
      <c r="O306" s="8" t="s">
        <v>47</v>
      </c>
      <c r="P306" s="9">
        <f t="shared" si="84"/>
        <v>45067</v>
      </c>
      <c r="Q306" s="9"/>
      <c r="R306" s="9">
        <f t="shared" si="85"/>
        <v>45070</v>
      </c>
      <c r="S306" s="9"/>
      <c r="T306" s="9">
        <f t="shared" si="86"/>
        <v>45073</v>
      </c>
      <c r="U306" s="9"/>
      <c r="V306" s="8"/>
      <c r="W306" s="17">
        <v>45073</v>
      </c>
      <c r="X306" s="17"/>
      <c r="Y306" s="8"/>
      <c r="Z306" s="17">
        <v>45077</v>
      </c>
      <c r="AA306" s="9"/>
      <c r="AB306" s="8"/>
      <c r="AC306" s="8"/>
      <c r="AD306" s="8"/>
      <c r="AE306" s="8"/>
      <c r="AF306" s="8"/>
    </row>
    <row r="307" spans="1:32" ht="15" hidden="1">
      <c r="A307" s="8">
        <v>303</v>
      </c>
      <c r="B307" s="55"/>
      <c r="C307" s="29" t="s">
        <v>376</v>
      </c>
      <c r="D307" s="8"/>
      <c r="E307" s="8"/>
      <c r="F307" s="9"/>
      <c r="G307" s="9"/>
      <c r="H307" s="26"/>
      <c r="I307" s="8"/>
      <c r="J307" s="9"/>
      <c r="K307" s="15"/>
      <c r="L307" s="16"/>
      <c r="M307" s="9"/>
      <c r="N307" s="8"/>
      <c r="O307" s="8"/>
      <c r="P307" s="9"/>
      <c r="Q307" s="9"/>
      <c r="R307" s="9"/>
      <c r="S307" s="9"/>
      <c r="T307" s="9"/>
      <c r="U307" s="9"/>
      <c r="V307" s="8"/>
      <c r="W307" s="17"/>
      <c r="X307" s="17"/>
      <c r="Y307" s="8"/>
      <c r="Z307" s="17"/>
      <c r="AA307" s="9"/>
      <c r="AB307" s="8"/>
      <c r="AC307" s="8"/>
      <c r="AD307" s="8"/>
      <c r="AE307" s="8"/>
      <c r="AF307" s="8"/>
    </row>
    <row r="308" spans="1:32" ht="30">
      <c r="A308" s="8">
        <v>304</v>
      </c>
      <c r="B308" s="55"/>
      <c r="C308" s="8" t="s">
        <v>377</v>
      </c>
      <c r="D308" s="8" t="s">
        <v>378</v>
      </c>
      <c r="E308" s="8" t="s">
        <v>42</v>
      </c>
      <c r="F308" s="9" t="s">
        <v>66</v>
      </c>
      <c r="G308" s="9" t="s">
        <v>66</v>
      </c>
      <c r="H308" s="26" t="s">
        <v>240</v>
      </c>
      <c r="I308" s="8" t="s">
        <v>241</v>
      </c>
      <c r="J308" s="9">
        <v>45021</v>
      </c>
      <c r="K308" s="58" t="s">
        <v>264</v>
      </c>
      <c r="L308" s="16" t="s">
        <v>317</v>
      </c>
      <c r="M308" s="9">
        <f t="shared" ref="M308:M316" si="87">J308+10</f>
        <v>45031</v>
      </c>
      <c r="N308" s="8"/>
      <c r="O308" s="8" t="s">
        <v>47</v>
      </c>
      <c r="P308" s="9">
        <f t="shared" ref="P308:P316" si="88">J308+6</f>
        <v>45027</v>
      </c>
      <c r="Q308" s="9"/>
      <c r="R308" s="9">
        <f t="shared" ref="R308:R316" si="89">J308+9</f>
        <v>45030</v>
      </c>
      <c r="S308" s="9"/>
      <c r="T308" s="9">
        <f t="shared" ref="T308:T316" si="90">J308+12</f>
        <v>45033</v>
      </c>
      <c r="U308" s="9"/>
      <c r="V308" s="8"/>
      <c r="W308" s="17">
        <v>45073</v>
      </c>
      <c r="X308" s="17"/>
      <c r="Y308" s="8"/>
      <c r="Z308" s="17">
        <v>45077</v>
      </c>
      <c r="AA308" s="9"/>
      <c r="AB308" s="8"/>
      <c r="AC308" s="8"/>
      <c r="AD308" s="8"/>
      <c r="AE308" s="8"/>
      <c r="AF308" s="8"/>
    </row>
    <row r="309" spans="1:32" ht="30">
      <c r="A309" s="8">
        <v>305</v>
      </c>
      <c r="B309" s="55"/>
      <c r="C309" s="8" t="s">
        <v>379</v>
      </c>
      <c r="D309" s="8" t="s">
        <v>378</v>
      </c>
      <c r="E309" s="8" t="s">
        <v>42</v>
      </c>
      <c r="F309" s="9" t="s">
        <v>66</v>
      </c>
      <c r="G309" s="9" t="s">
        <v>66</v>
      </c>
      <c r="H309" s="26" t="s">
        <v>240</v>
      </c>
      <c r="I309" s="8" t="s">
        <v>241</v>
      </c>
      <c r="J309" s="9">
        <v>45021</v>
      </c>
      <c r="K309" s="58"/>
      <c r="L309" s="16" t="s">
        <v>317</v>
      </c>
      <c r="M309" s="9">
        <f t="shared" si="87"/>
        <v>45031</v>
      </c>
      <c r="N309" s="8"/>
      <c r="O309" s="8" t="s">
        <v>47</v>
      </c>
      <c r="P309" s="9">
        <f t="shared" si="88"/>
        <v>45027</v>
      </c>
      <c r="Q309" s="9"/>
      <c r="R309" s="9">
        <f t="shared" si="89"/>
        <v>45030</v>
      </c>
      <c r="S309" s="9"/>
      <c r="T309" s="9">
        <f t="shared" si="90"/>
        <v>45033</v>
      </c>
      <c r="U309" s="9"/>
      <c r="V309" s="8"/>
      <c r="W309" s="17">
        <v>45073</v>
      </c>
      <c r="X309" s="17"/>
      <c r="Y309" s="8"/>
      <c r="Z309" s="17">
        <v>45077</v>
      </c>
      <c r="AA309" s="9"/>
      <c r="AB309" s="8"/>
      <c r="AC309" s="8"/>
      <c r="AD309" s="8"/>
      <c r="AE309" s="8"/>
      <c r="AF309" s="8"/>
    </row>
    <row r="310" spans="1:32" ht="30">
      <c r="A310" s="8">
        <v>306</v>
      </c>
      <c r="B310" s="55"/>
      <c r="C310" s="8" t="s">
        <v>380</v>
      </c>
      <c r="D310" s="8" t="s">
        <v>378</v>
      </c>
      <c r="E310" s="8" t="s">
        <v>42</v>
      </c>
      <c r="F310" s="9" t="s">
        <v>66</v>
      </c>
      <c r="G310" s="9" t="s">
        <v>66</v>
      </c>
      <c r="H310" s="26" t="s">
        <v>240</v>
      </c>
      <c r="I310" s="8" t="s">
        <v>241</v>
      </c>
      <c r="J310" s="9">
        <v>45021</v>
      </c>
      <c r="K310" s="58"/>
      <c r="L310" s="16" t="s">
        <v>317</v>
      </c>
      <c r="M310" s="9">
        <f t="shared" si="87"/>
        <v>45031</v>
      </c>
      <c r="N310" s="8"/>
      <c r="O310" s="8" t="s">
        <v>47</v>
      </c>
      <c r="P310" s="9">
        <f t="shared" si="88"/>
        <v>45027</v>
      </c>
      <c r="Q310" s="9"/>
      <c r="R310" s="9">
        <f t="shared" si="89"/>
        <v>45030</v>
      </c>
      <c r="S310" s="9"/>
      <c r="T310" s="9">
        <f t="shared" si="90"/>
        <v>45033</v>
      </c>
      <c r="U310" s="9"/>
      <c r="V310" s="8"/>
      <c r="W310" s="17">
        <v>45073</v>
      </c>
      <c r="X310" s="17"/>
      <c r="Y310" s="8"/>
      <c r="Z310" s="17">
        <v>45077</v>
      </c>
      <c r="AA310" s="9"/>
      <c r="AB310" s="8"/>
      <c r="AC310" s="8"/>
      <c r="AD310" s="8"/>
      <c r="AE310" s="8"/>
      <c r="AF310" s="8"/>
    </row>
    <row r="311" spans="1:32" ht="30">
      <c r="A311" s="8">
        <v>307</v>
      </c>
      <c r="B311" s="55"/>
      <c r="C311" s="8" t="s">
        <v>381</v>
      </c>
      <c r="D311" s="8" t="s">
        <v>378</v>
      </c>
      <c r="E311" s="8" t="s">
        <v>42</v>
      </c>
      <c r="F311" s="9" t="s">
        <v>66</v>
      </c>
      <c r="G311" s="9" t="s">
        <v>66</v>
      </c>
      <c r="H311" s="26" t="s">
        <v>240</v>
      </c>
      <c r="I311" s="8" t="s">
        <v>241</v>
      </c>
      <c r="J311" s="9">
        <v>45021</v>
      </c>
      <c r="K311" s="58"/>
      <c r="L311" s="16" t="s">
        <v>317</v>
      </c>
      <c r="M311" s="9">
        <f t="shared" si="87"/>
        <v>45031</v>
      </c>
      <c r="N311" s="8"/>
      <c r="O311" s="8" t="s">
        <v>47</v>
      </c>
      <c r="P311" s="9">
        <f t="shared" si="88"/>
        <v>45027</v>
      </c>
      <c r="Q311" s="9"/>
      <c r="R311" s="9">
        <f t="shared" si="89"/>
        <v>45030</v>
      </c>
      <c r="S311" s="9"/>
      <c r="T311" s="9">
        <f t="shared" si="90"/>
        <v>45033</v>
      </c>
      <c r="U311" s="9"/>
      <c r="V311" s="8"/>
      <c r="W311" s="17">
        <v>45073</v>
      </c>
      <c r="X311" s="17"/>
      <c r="Y311" s="8"/>
      <c r="Z311" s="17">
        <v>45077</v>
      </c>
      <c r="AA311" s="9"/>
      <c r="AB311" s="8"/>
      <c r="AC311" s="8"/>
      <c r="AD311" s="8"/>
      <c r="AE311" s="8"/>
      <c r="AF311" s="8"/>
    </row>
    <row r="312" spans="1:32" ht="30">
      <c r="A312" s="8">
        <v>308</v>
      </c>
      <c r="B312" s="55"/>
      <c r="C312" s="8" t="s">
        <v>382</v>
      </c>
      <c r="D312" s="8" t="s">
        <v>378</v>
      </c>
      <c r="E312" s="8" t="s">
        <v>42</v>
      </c>
      <c r="F312" s="9" t="s">
        <v>66</v>
      </c>
      <c r="G312" s="9" t="s">
        <v>66</v>
      </c>
      <c r="H312" s="26" t="s">
        <v>240</v>
      </c>
      <c r="I312" s="8" t="s">
        <v>241</v>
      </c>
      <c r="J312" s="9">
        <v>45021</v>
      </c>
      <c r="K312" s="58"/>
      <c r="L312" s="16" t="s">
        <v>317</v>
      </c>
      <c r="M312" s="9">
        <f t="shared" si="87"/>
        <v>45031</v>
      </c>
      <c r="N312" s="8"/>
      <c r="O312" s="8" t="s">
        <v>47</v>
      </c>
      <c r="P312" s="9">
        <f t="shared" si="88"/>
        <v>45027</v>
      </c>
      <c r="Q312" s="9"/>
      <c r="R312" s="9">
        <f t="shared" si="89"/>
        <v>45030</v>
      </c>
      <c r="S312" s="9"/>
      <c r="T312" s="9">
        <f t="shared" si="90"/>
        <v>45033</v>
      </c>
      <c r="U312" s="9"/>
      <c r="V312" s="8"/>
      <c r="W312" s="17">
        <v>45073</v>
      </c>
      <c r="X312" s="17"/>
      <c r="Y312" s="8"/>
      <c r="Z312" s="17">
        <v>45077</v>
      </c>
      <c r="AA312" s="9"/>
      <c r="AB312" s="8"/>
      <c r="AC312" s="8"/>
      <c r="AD312" s="8"/>
      <c r="AE312" s="8"/>
      <c r="AF312" s="8"/>
    </row>
    <row r="313" spans="1:32" ht="30">
      <c r="A313" s="8">
        <v>309</v>
      </c>
      <c r="B313" s="55"/>
      <c r="C313" s="8" t="s">
        <v>383</v>
      </c>
      <c r="D313" s="8" t="s">
        <v>378</v>
      </c>
      <c r="E313" s="8" t="s">
        <v>42</v>
      </c>
      <c r="F313" s="9" t="s">
        <v>66</v>
      </c>
      <c r="G313" s="9" t="s">
        <v>66</v>
      </c>
      <c r="H313" s="26" t="s">
        <v>240</v>
      </c>
      <c r="I313" s="8" t="s">
        <v>241</v>
      </c>
      <c r="J313" s="9">
        <v>45021</v>
      </c>
      <c r="K313" s="58"/>
      <c r="L313" s="16" t="s">
        <v>317</v>
      </c>
      <c r="M313" s="9">
        <f t="shared" si="87"/>
        <v>45031</v>
      </c>
      <c r="N313" s="8"/>
      <c r="O313" s="8" t="s">
        <v>47</v>
      </c>
      <c r="P313" s="9">
        <f t="shared" si="88"/>
        <v>45027</v>
      </c>
      <c r="Q313" s="9"/>
      <c r="R313" s="9">
        <f t="shared" si="89"/>
        <v>45030</v>
      </c>
      <c r="S313" s="9"/>
      <c r="T313" s="9">
        <f t="shared" si="90"/>
        <v>45033</v>
      </c>
      <c r="U313" s="9"/>
      <c r="V313" s="8"/>
      <c r="W313" s="17">
        <v>45073</v>
      </c>
      <c r="X313" s="17"/>
      <c r="Y313" s="8"/>
      <c r="Z313" s="17">
        <v>45077</v>
      </c>
      <c r="AA313" s="9"/>
      <c r="AB313" s="8"/>
      <c r="AC313" s="8"/>
      <c r="AD313" s="8"/>
      <c r="AE313" s="8"/>
      <c r="AF313" s="8"/>
    </row>
    <row r="314" spans="1:32" ht="45">
      <c r="A314" s="8">
        <v>310</v>
      </c>
      <c r="B314" s="55"/>
      <c r="C314" s="8" t="s">
        <v>384</v>
      </c>
      <c r="D314" s="8" t="s">
        <v>378</v>
      </c>
      <c r="E314" s="8" t="s">
        <v>42</v>
      </c>
      <c r="F314" s="9" t="s">
        <v>66</v>
      </c>
      <c r="G314" s="9" t="s">
        <v>66</v>
      </c>
      <c r="H314" s="26" t="s">
        <v>240</v>
      </c>
      <c r="I314" s="8" t="s">
        <v>241</v>
      </c>
      <c r="J314" s="9">
        <v>45021</v>
      </c>
      <c r="K314" s="58"/>
      <c r="L314" s="16" t="s">
        <v>317</v>
      </c>
      <c r="M314" s="9">
        <f t="shared" si="87"/>
        <v>45031</v>
      </c>
      <c r="N314" s="8"/>
      <c r="O314" s="8" t="s">
        <v>47</v>
      </c>
      <c r="P314" s="9">
        <f t="shared" si="88"/>
        <v>45027</v>
      </c>
      <c r="Q314" s="9"/>
      <c r="R314" s="9">
        <f t="shared" si="89"/>
        <v>45030</v>
      </c>
      <c r="S314" s="9"/>
      <c r="T314" s="9">
        <f t="shared" si="90"/>
        <v>45033</v>
      </c>
      <c r="U314" s="9"/>
      <c r="V314" s="8"/>
      <c r="W314" s="17">
        <v>45073</v>
      </c>
      <c r="X314" s="17"/>
      <c r="Y314" s="8"/>
      <c r="Z314" s="17">
        <v>45077</v>
      </c>
      <c r="AA314" s="9"/>
      <c r="AB314" s="8"/>
      <c r="AC314" s="8"/>
      <c r="AD314" s="8"/>
      <c r="AE314" s="8"/>
      <c r="AF314" s="8"/>
    </row>
    <row r="315" spans="1:32" ht="30">
      <c r="A315" s="8">
        <v>311</v>
      </c>
      <c r="B315" s="55"/>
      <c r="C315" s="8" t="s">
        <v>385</v>
      </c>
      <c r="D315" s="8" t="s">
        <v>378</v>
      </c>
      <c r="E315" s="8" t="s">
        <v>42</v>
      </c>
      <c r="F315" s="9" t="s">
        <v>66</v>
      </c>
      <c r="G315" s="9" t="s">
        <v>66</v>
      </c>
      <c r="H315" s="26" t="s">
        <v>240</v>
      </c>
      <c r="I315" s="8" t="s">
        <v>241</v>
      </c>
      <c r="J315" s="9">
        <v>45021</v>
      </c>
      <c r="K315" s="58"/>
      <c r="L315" s="16" t="s">
        <v>317</v>
      </c>
      <c r="M315" s="9">
        <f t="shared" si="87"/>
        <v>45031</v>
      </c>
      <c r="N315" s="8"/>
      <c r="O315" s="8" t="s">
        <v>47</v>
      </c>
      <c r="P315" s="9">
        <f t="shared" si="88"/>
        <v>45027</v>
      </c>
      <c r="Q315" s="9"/>
      <c r="R315" s="9">
        <f t="shared" si="89"/>
        <v>45030</v>
      </c>
      <c r="S315" s="9"/>
      <c r="T315" s="9">
        <f t="shared" si="90"/>
        <v>45033</v>
      </c>
      <c r="U315" s="9"/>
      <c r="V315" s="8"/>
      <c r="W315" s="17">
        <v>45073</v>
      </c>
      <c r="X315" s="17"/>
      <c r="Y315" s="8"/>
      <c r="Z315" s="17">
        <v>45077</v>
      </c>
      <c r="AA315" s="9"/>
      <c r="AB315" s="8"/>
      <c r="AC315" s="8"/>
      <c r="AD315" s="8"/>
      <c r="AE315" s="8"/>
      <c r="AF315" s="8"/>
    </row>
    <row r="316" spans="1:32" ht="30">
      <c r="A316" s="8">
        <v>312</v>
      </c>
      <c r="B316" s="55"/>
      <c r="C316" s="8" t="s">
        <v>386</v>
      </c>
      <c r="D316" s="8" t="s">
        <v>378</v>
      </c>
      <c r="E316" s="8" t="s">
        <v>42</v>
      </c>
      <c r="F316" s="9" t="s">
        <v>66</v>
      </c>
      <c r="G316" s="9" t="s">
        <v>66</v>
      </c>
      <c r="H316" s="26" t="s">
        <v>240</v>
      </c>
      <c r="I316" s="8" t="s">
        <v>241</v>
      </c>
      <c r="J316" s="9">
        <v>45021</v>
      </c>
      <c r="K316" s="58"/>
      <c r="L316" s="16" t="s">
        <v>317</v>
      </c>
      <c r="M316" s="9">
        <f t="shared" si="87"/>
        <v>45031</v>
      </c>
      <c r="N316" s="8"/>
      <c r="O316" s="8" t="s">
        <v>47</v>
      </c>
      <c r="P316" s="9">
        <f t="shared" si="88"/>
        <v>45027</v>
      </c>
      <c r="Q316" s="9"/>
      <c r="R316" s="9">
        <f t="shared" si="89"/>
        <v>45030</v>
      </c>
      <c r="S316" s="9"/>
      <c r="T316" s="9">
        <f t="shared" si="90"/>
        <v>45033</v>
      </c>
      <c r="U316" s="9"/>
      <c r="V316" s="8"/>
      <c r="W316" s="17">
        <v>45073</v>
      </c>
      <c r="X316" s="17"/>
      <c r="Y316" s="8"/>
      <c r="Z316" s="17">
        <v>45077</v>
      </c>
      <c r="AA316" s="9"/>
      <c r="AB316" s="8"/>
      <c r="AC316" s="8"/>
      <c r="AD316" s="8"/>
      <c r="AE316" s="8"/>
      <c r="AF316" s="8"/>
    </row>
    <row r="317" spans="1:32" ht="15" hidden="1">
      <c r="A317" s="8">
        <v>313</v>
      </c>
      <c r="B317" s="55"/>
      <c r="C317" s="24" t="s">
        <v>387</v>
      </c>
      <c r="D317" s="8"/>
      <c r="E317" s="8"/>
      <c r="F317" s="9"/>
      <c r="G317" s="9"/>
      <c r="H317" s="26"/>
      <c r="I317" s="8"/>
      <c r="J317" s="9"/>
      <c r="K317" s="58"/>
      <c r="L317" s="16"/>
      <c r="M317" s="9"/>
      <c r="N317" s="8"/>
      <c r="O317" s="8"/>
      <c r="P317" s="9"/>
      <c r="Q317" s="9"/>
      <c r="R317" s="9"/>
      <c r="S317" s="9"/>
      <c r="T317" s="9"/>
      <c r="U317" s="9"/>
      <c r="V317" s="8"/>
      <c r="W317" s="17"/>
      <c r="X317" s="17"/>
      <c r="Y317" s="8"/>
      <c r="Z317" s="17"/>
      <c r="AA317" s="9"/>
      <c r="AB317" s="8"/>
      <c r="AC317" s="8"/>
      <c r="AD317" s="8"/>
      <c r="AE317" s="8"/>
      <c r="AF317" s="8"/>
    </row>
    <row r="318" spans="1:32" ht="30">
      <c r="A318" s="8">
        <v>314</v>
      </c>
      <c r="B318" s="55"/>
      <c r="C318" s="8" t="s">
        <v>388</v>
      </c>
      <c r="D318" s="8" t="s">
        <v>378</v>
      </c>
      <c r="E318" s="8" t="s">
        <v>42</v>
      </c>
      <c r="F318" s="9" t="s">
        <v>66</v>
      </c>
      <c r="G318" s="9" t="s">
        <v>66</v>
      </c>
      <c r="H318" s="26" t="s">
        <v>240</v>
      </c>
      <c r="I318" s="8" t="s">
        <v>241</v>
      </c>
      <c r="J318" s="9">
        <v>45021</v>
      </c>
      <c r="K318" s="58"/>
      <c r="L318" s="16" t="s">
        <v>317</v>
      </c>
      <c r="M318" s="9">
        <f t="shared" ref="M318:M323" si="91">J318+10</f>
        <v>45031</v>
      </c>
      <c r="N318" s="8"/>
      <c r="O318" s="8" t="s">
        <v>47</v>
      </c>
      <c r="P318" s="9">
        <f t="shared" ref="P318:P323" si="92">J318+6</f>
        <v>45027</v>
      </c>
      <c r="Q318" s="9"/>
      <c r="R318" s="9">
        <f t="shared" ref="R318:R323" si="93">J318+9</f>
        <v>45030</v>
      </c>
      <c r="S318" s="9"/>
      <c r="T318" s="9">
        <f t="shared" ref="T318:T323" si="94">J318+12</f>
        <v>45033</v>
      </c>
      <c r="U318" s="9"/>
      <c r="V318" s="8"/>
      <c r="W318" s="17">
        <v>45073</v>
      </c>
      <c r="X318" s="17"/>
      <c r="Y318" s="8"/>
      <c r="Z318" s="17">
        <v>45077</v>
      </c>
      <c r="AA318" s="9"/>
      <c r="AB318" s="8"/>
      <c r="AC318" s="8"/>
      <c r="AD318" s="8"/>
      <c r="AE318" s="8"/>
      <c r="AF318" s="8"/>
    </row>
    <row r="319" spans="1:32" ht="30">
      <c r="A319" s="8">
        <v>315</v>
      </c>
      <c r="B319" s="55"/>
      <c r="C319" s="59" t="s">
        <v>389</v>
      </c>
      <c r="D319" s="59" t="s">
        <v>378</v>
      </c>
      <c r="E319" s="59" t="s">
        <v>42</v>
      </c>
      <c r="F319" s="60" t="s">
        <v>66</v>
      </c>
      <c r="G319" s="60" t="s">
        <v>66</v>
      </c>
      <c r="H319" s="61" t="s">
        <v>240</v>
      </c>
      <c r="I319" s="59" t="s">
        <v>241</v>
      </c>
      <c r="J319" s="60" t="s">
        <v>726</v>
      </c>
      <c r="K319" s="58" t="s">
        <v>732</v>
      </c>
      <c r="L319" s="16" t="s">
        <v>317</v>
      </c>
      <c r="M319" s="9" t="e">
        <f t="shared" si="91"/>
        <v>#VALUE!</v>
      </c>
      <c r="N319" s="8"/>
      <c r="O319" s="8" t="s">
        <v>47</v>
      </c>
      <c r="P319" s="9" t="e">
        <f t="shared" si="92"/>
        <v>#VALUE!</v>
      </c>
      <c r="Q319" s="9"/>
      <c r="R319" s="9" t="e">
        <f t="shared" si="93"/>
        <v>#VALUE!</v>
      </c>
      <c r="S319" s="9"/>
      <c r="T319" s="9" t="e">
        <f t="shared" si="94"/>
        <v>#VALUE!</v>
      </c>
      <c r="U319" s="9"/>
      <c r="V319" s="8"/>
      <c r="W319" s="17">
        <v>45073</v>
      </c>
      <c r="X319" s="17"/>
      <c r="Y319" s="8"/>
      <c r="Z319" s="17">
        <v>45077</v>
      </c>
      <c r="AA319" s="9"/>
      <c r="AB319" s="8"/>
      <c r="AC319" s="8"/>
      <c r="AD319" s="8"/>
      <c r="AE319" s="8"/>
      <c r="AF319" s="8"/>
    </row>
    <row r="320" spans="1:32" ht="30">
      <c r="A320" s="8">
        <v>316</v>
      </c>
      <c r="B320" s="55"/>
      <c r="C320" s="59" t="s">
        <v>390</v>
      </c>
      <c r="D320" s="59" t="s">
        <v>378</v>
      </c>
      <c r="E320" s="59" t="s">
        <v>42</v>
      </c>
      <c r="F320" s="60" t="s">
        <v>66</v>
      </c>
      <c r="G320" s="60" t="s">
        <v>66</v>
      </c>
      <c r="H320" s="61" t="s">
        <v>240</v>
      </c>
      <c r="I320" s="59" t="s">
        <v>241</v>
      </c>
      <c r="J320" s="60" t="s">
        <v>726</v>
      </c>
      <c r="K320" s="58"/>
      <c r="L320" s="16" t="s">
        <v>317</v>
      </c>
      <c r="M320" s="9" t="e">
        <f t="shared" si="91"/>
        <v>#VALUE!</v>
      </c>
      <c r="N320" s="8"/>
      <c r="O320" s="8" t="s">
        <v>47</v>
      </c>
      <c r="P320" s="9" t="e">
        <f t="shared" si="92"/>
        <v>#VALUE!</v>
      </c>
      <c r="Q320" s="9"/>
      <c r="R320" s="9" t="e">
        <f t="shared" si="93"/>
        <v>#VALUE!</v>
      </c>
      <c r="S320" s="9"/>
      <c r="T320" s="9" t="e">
        <f t="shared" si="94"/>
        <v>#VALUE!</v>
      </c>
      <c r="U320" s="9"/>
      <c r="V320" s="8"/>
      <c r="W320" s="17">
        <v>45073</v>
      </c>
      <c r="X320" s="17"/>
      <c r="Y320" s="8"/>
      <c r="Z320" s="17">
        <v>45077</v>
      </c>
      <c r="AA320" s="9"/>
      <c r="AB320" s="8"/>
      <c r="AC320" s="8"/>
      <c r="AD320" s="8"/>
      <c r="AE320" s="8"/>
      <c r="AF320" s="8"/>
    </row>
    <row r="321" spans="1:32" ht="30">
      <c r="A321" s="8">
        <v>317</v>
      </c>
      <c r="B321" s="55"/>
      <c r="C321" s="59" t="s">
        <v>391</v>
      </c>
      <c r="D321" s="59" t="s">
        <v>378</v>
      </c>
      <c r="E321" s="59" t="s">
        <v>42</v>
      </c>
      <c r="F321" s="60" t="s">
        <v>66</v>
      </c>
      <c r="G321" s="60" t="s">
        <v>66</v>
      </c>
      <c r="H321" s="61" t="s">
        <v>240</v>
      </c>
      <c r="I321" s="59" t="s">
        <v>241</v>
      </c>
      <c r="J321" s="60" t="s">
        <v>727</v>
      </c>
      <c r="K321" s="58"/>
      <c r="L321" s="16" t="s">
        <v>317</v>
      </c>
      <c r="M321" s="9" t="e">
        <f t="shared" si="91"/>
        <v>#VALUE!</v>
      </c>
      <c r="N321" s="8"/>
      <c r="O321" s="8" t="s">
        <v>47</v>
      </c>
      <c r="P321" s="9" t="e">
        <f t="shared" si="92"/>
        <v>#VALUE!</v>
      </c>
      <c r="Q321" s="9"/>
      <c r="R321" s="9" t="e">
        <f t="shared" si="93"/>
        <v>#VALUE!</v>
      </c>
      <c r="S321" s="9"/>
      <c r="T321" s="9" t="e">
        <f t="shared" si="94"/>
        <v>#VALUE!</v>
      </c>
      <c r="U321" s="9"/>
      <c r="V321" s="8"/>
      <c r="W321" s="17">
        <v>45073</v>
      </c>
      <c r="X321" s="17"/>
      <c r="Y321" s="8"/>
      <c r="Z321" s="17">
        <v>45077</v>
      </c>
      <c r="AA321" s="9"/>
      <c r="AB321" s="8"/>
      <c r="AC321" s="8"/>
      <c r="AD321" s="8"/>
      <c r="AE321" s="8"/>
      <c r="AF321" s="8"/>
    </row>
    <row r="322" spans="1:32" ht="30">
      <c r="A322" s="8">
        <v>318</v>
      </c>
      <c r="B322" s="55"/>
      <c r="C322" s="59" t="s">
        <v>392</v>
      </c>
      <c r="D322" s="59" t="s">
        <v>378</v>
      </c>
      <c r="E322" s="59" t="s">
        <v>42</v>
      </c>
      <c r="F322" s="60" t="s">
        <v>66</v>
      </c>
      <c r="G322" s="60" t="s">
        <v>66</v>
      </c>
      <c r="H322" s="61" t="s">
        <v>240</v>
      </c>
      <c r="I322" s="59" t="s">
        <v>241</v>
      </c>
      <c r="J322" s="60" t="s">
        <v>727</v>
      </c>
      <c r="K322" s="58"/>
      <c r="L322" s="16" t="s">
        <v>317</v>
      </c>
      <c r="M322" s="9" t="e">
        <f t="shared" si="91"/>
        <v>#VALUE!</v>
      </c>
      <c r="N322" s="8"/>
      <c r="O322" s="8" t="s">
        <v>47</v>
      </c>
      <c r="P322" s="9" t="e">
        <f t="shared" si="92"/>
        <v>#VALUE!</v>
      </c>
      <c r="Q322" s="9"/>
      <c r="R322" s="9" t="e">
        <f t="shared" si="93"/>
        <v>#VALUE!</v>
      </c>
      <c r="S322" s="9"/>
      <c r="T322" s="9" t="e">
        <f t="shared" si="94"/>
        <v>#VALUE!</v>
      </c>
      <c r="U322" s="9"/>
      <c r="V322" s="8"/>
      <c r="W322" s="17">
        <v>45073</v>
      </c>
      <c r="X322" s="17"/>
      <c r="Y322" s="8"/>
      <c r="Z322" s="17">
        <v>45077</v>
      </c>
      <c r="AA322" s="9"/>
      <c r="AB322" s="8"/>
      <c r="AC322" s="8"/>
      <c r="AD322" s="8"/>
      <c r="AE322" s="8"/>
      <c r="AF322" s="8"/>
    </row>
    <row r="323" spans="1:32" ht="30">
      <c r="A323" s="8">
        <v>319</v>
      </c>
      <c r="B323" s="55"/>
      <c r="C323" s="8" t="s">
        <v>393</v>
      </c>
      <c r="D323" s="8" t="s">
        <v>378</v>
      </c>
      <c r="E323" s="8" t="s">
        <v>42</v>
      </c>
      <c r="F323" s="9" t="s">
        <v>66</v>
      </c>
      <c r="G323" s="9" t="s">
        <v>66</v>
      </c>
      <c r="H323" s="26" t="s">
        <v>240</v>
      </c>
      <c r="I323" s="8" t="s">
        <v>241</v>
      </c>
      <c r="J323" s="9">
        <v>45046</v>
      </c>
      <c r="K323" s="58"/>
      <c r="L323" s="16" t="s">
        <v>317</v>
      </c>
      <c r="M323" s="9">
        <f t="shared" si="91"/>
        <v>45056</v>
      </c>
      <c r="N323" s="8"/>
      <c r="O323" s="8" t="s">
        <v>47</v>
      </c>
      <c r="P323" s="9">
        <f t="shared" si="92"/>
        <v>45052</v>
      </c>
      <c r="Q323" s="9"/>
      <c r="R323" s="9">
        <f t="shared" si="93"/>
        <v>45055</v>
      </c>
      <c r="S323" s="9"/>
      <c r="T323" s="9">
        <f t="shared" si="94"/>
        <v>45058</v>
      </c>
      <c r="U323" s="9"/>
      <c r="V323" s="8"/>
      <c r="W323" s="17">
        <v>45073</v>
      </c>
      <c r="X323" s="17"/>
      <c r="Y323" s="8"/>
      <c r="Z323" s="17">
        <v>45077</v>
      </c>
      <c r="AA323" s="9"/>
      <c r="AB323" s="8"/>
      <c r="AC323" s="8"/>
      <c r="AD323" s="8"/>
      <c r="AE323" s="8"/>
      <c r="AF323" s="8"/>
    </row>
    <row r="324" spans="1:32" ht="15" hidden="1">
      <c r="A324" s="8">
        <v>320</v>
      </c>
      <c r="B324" s="55"/>
      <c r="C324" s="24" t="s">
        <v>394</v>
      </c>
      <c r="D324" s="8"/>
      <c r="E324" s="8"/>
      <c r="F324" s="9"/>
      <c r="G324" s="9"/>
      <c r="H324" s="26"/>
      <c r="I324" s="8"/>
      <c r="J324" s="9"/>
      <c r="K324" s="15"/>
      <c r="L324" s="16"/>
      <c r="M324" s="9"/>
      <c r="N324" s="8"/>
      <c r="O324" s="8"/>
      <c r="P324" s="9"/>
      <c r="Q324" s="9"/>
      <c r="R324" s="9"/>
      <c r="S324" s="9"/>
      <c r="T324" s="9"/>
      <c r="U324" s="9"/>
      <c r="V324" s="8"/>
      <c r="W324" s="17"/>
      <c r="X324" s="17"/>
      <c r="Y324" s="8"/>
      <c r="Z324" s="17"/>
      <c r="AA324" s="9"/>
      <c r="AB324" s="8"/>
      <c r="AC324" s="8"/>
      <c r="AD324" s="8"/>
      <c r="AE324" s="8"/>
      <c r="AF324" s="8"/>
    </row>
    <row r="325" spans="1:32" ht="30">
      <c r="A325" s="8">
        <v>321</v>
      </c>
      <c r="B325" s="55"/>
      <c r="C325" s="8" t="s">
        <v>395</v>
      </c>
      <c r="D325" s="8" t="s">
        <v>378</v>
      </c>
      <c r="E325" s="8" t="s">
        <v>42</v>
      </c>
      <c r="F325" s="9" t="s">
        <v>66</v>
      </c>
      <c r="G325" s="9" t="s">
        <v>66</v>
      </c>
      <c r="H325" s="26" t="s">
        <v>240</v>
      </c>
      <c r="I325" s="8" t="s">
        <v>241</v>
      </c>
      <c r="J325" s="9">
        <v>45046</v>
      </c>
      <c r="K325" s="58" t="s">
        <v>284</v>
      </c>
      <c r="L325" s="16" t="s">
        <v>317</v>
      </c>
      <c r="M325" s="9">
        <f t="shared" ref="M325:M329" si="95">J325+10</f>
        <v>45056</v>
      </c>
      <c r="N325" s="8"/>
      <c r="O325" s="8" t="s">
        <v>47</v>
      </c>
      <c r="P325" s="9">
        <f t="shared" ref="P325:P329" si="96">J325+6</f>
        <v>45052</v>
      </c>
      <c r="Q325" s="9"/>
      <c r="R325" s="9">
        <f t="shared" ref="R325:R329" si="97">J325+9</f>
        <v>45055</v>
      </c>
      <c r="S325" s="9"/>
      <c r="T325" s="9">
        <f t="shared" ref="T325:T329" si="98">J325+12</f>
        <v>45058</v>
      </c>
      <c r="U325" s="9"/>
      <c r="V325" s="8"/>
      <c r="W325" s="17">
        <v>45073</v>
      </c>
      <c r="X325" s="17"/>
      <c r="Y325" s="8"/>
      <c r="Z325" s="17">
        <v>45077</v>
      </c>
      <c r="AA325" s="9"/>
      <c r="AB325" s="8"/>
      <c r="AC325" s="8"/>
      <c r="AD325" s="8"/>
      <c r="AE325" s="8"/>
      <c r="AF325" s="8"/>
    </row>
    <row r="326" spans="1:32" ht="30">
      <c r="A326" s="8">
        <v>322</v>
      </c>
      <c r="B326" s="55"/>
      <c r="C326" s="8" t="s">
        <v>396</v>
      </c>
      <c r="D326" s="8" t="s">
        <v>378</v>
      </c>
      <c r="E326" s="8" t="s">
        <v>42</v>
      </c>
      <c r="F326" s="9" t="s">
        <v>66</v>
      </c>
      <c r="G326" s="9" t="s">
        <v>66</v>
      </c>
      <c r="H326" s="26" t="s">
        <v>240</v>
      </c>
      <c r="I326" s="8" t="s">
        <v>241</v>
      </c>
      <c r="J326" s="9">
        <v>45046</v>
      </c>
      <c r="K326" s="58"/>
      <c r="L326" s="16" t="s">
        <v>317</v>
      </c>
      <c r="M326" s="9">
        <f t="shared" si="95"/>
        <v>45056</v>
      </c>
      <c r="N326" s="8"/>
      <c r="O326" s="8" t="s">
        <v>47</v>
      </c>
      <c r="P326" s="9">
        <f t="shared" si="96"/>
        <v>45052</v>
      </c>
      <c r="Q326" s="9"/>
      <c r="R326" s="9">
        <f t="shared" si="97"/>
        <v>45055</v>
      </c>
      <c r="S326" s="9"/>
      <c r="T326" s="9">
        <f t="shared" si="98"/>
        <v>45058</v>
      </c>
      <c r="U326" s="9"/>
      <c r="V326" s="8"/>
      <c r="W326" s="17">
        <v>45073</v>
      </c>
      <c r="X326" s="17"/>
      <c r="Y326" s="8"/>
      <c r="Z326" s="17">
        <v>45077</v>
      </c>
      <c r="AA326" s="9"/>
      <c r="AB326" s="8"/>
      <c r="AC326" s="8"/>
      <c r="AD326" s="8"/>
      <c r="AE326" s="8"/>
      <c r="AF326" s="8"/>
    </row>
    <row r="327" spans="1:32" ht="30">
      <c r="A327" s="8">
        <v>323</v>
      </c>
      <c r="B327" s="55"/>
      <c r="C327" s="8" t="s">
        <v>397</v>
      </c>
      <c r="D327" s="8" t="s">
        <v>378</v>
      </c>
      <c r="E327" s="8" t="s">
        <v>42</v>
      </c>
      <c r="F327" s="9" t="s">
        <v>66</v>
      </c>
      <c r="G327" s="9" t="s">
        <v>66</v>
      </c>
      <c r="H327" s="26" t="s">
        <v>240</v>
      </c>
      <c r="I327" s="8" t="s">
        <v>241</v>
      </c>
      <c r="J327" s="9">
        <v>45046</v>
      </c>
      <c r="K327" s="58"/>
      <c r="L327" s="16" t="s">
        <v>317</v>
      </c>
      <c r="M327" s="9">
        <f t="shared" si="95"/>
        <v>45056</v>
      </c>
      <c r="N327" s="8"/>
      <c r="O327" s="8" t="s">
        <v>47</v>
      </c>
      <c r="P327" s="9">
        <f t="shared" si="96"/>
        <v>45052</v>
      </c>
      <c r="Q327" s="9"/>
      <c r="R327" s="9">
        <f t="shared" si="97"/>
        <v>45055</v>
      </c>
      <c r="S327" s="9"/>
      <c r="T327" s="9">
        <f t="shared" si="98"/>
        <v>45058</v>
      </c>
      <c r="U327" s="9"/>
      <c r="V327" s="8"/>
      <c r="W327" s="17">
        <v>45073</v>
      </c>
      <c r="X327" s="17"/>
      <c r="Y327" s="8"/>
      <c r="Z327" s="17">
        <v>45077</v>
      </c>
      <c r="AA327" s="9"/>
      <c r="AB327" s="8"/>
      <c r="AC327" s="8"/>
      <c r="AD327" s="8"/>
      <c r="AE327" s="8"/>
      <c r="AF327" s="8"/>
    </row>
    <row r="328" spans="1:32" ht="30">
      <c r="A328" s="8">
        <v>324</v>
      </c>
      <c r="B328" s="55"/>
      <c r="C328" s="8" t="s">
        <v>398</v>
      </c>
      <c r="D328" s="8" t="s">
        <v>378</v>
      </c>
      <c r="E328" s="8" t="s">
        <v>42</v>
      </c>
      <c r="F328" s="9" t="s">
        <v>66</v>
      </c>
      <c r="G328" s="9" t="s">
        <v>66</v>
      </c>
      <c r="H328" s="26" t="s">
        <v>240</v>
      </c>
      <c r="I328" s="8" t="s">
        <v>241</v>
      </c>
      <c r="J328" s="9">
        <v>45046</v>
      </c>
      <c r="K328" s="58"/>
      <c r="L328" s="16" t="s">
        <v>317</v>
      </c>
      <c r="M328" s="9">
        <f t="shared" si="95"/>
        <v>45056</v>
      </c>
      <c r="N328" s="8"/>
      <c r="O328" s="8" t="s">
        <v>47</v>
      </c>
      <c r="P328" s="9">
        <f t="shared" si="96"/>
        <v>45052</v>
      </c>
      <c r="Q328" s="9"/>
      <c r="R328" s="9">
        <f t="shared" si="97"/>
        <v>45055</v>
      </c>
      <c r="S328" s="9"/>
      <c r="T328" s="9">
        <f t="shared" si="98"/>
        <v>45058</v>
      </c>
      <c r="U328" s="9"/>
      <c r="V328" s="8"/>
      <c r="W328" s="17">
        <v>45073</v>
      </c>
      <c r="X328" s="17"/>
      <c r="Y328" s="8"/>
      <c r="Z328" s="17">
        <v>45077</v>
      </c>
      <c r="AA328" s="9"/>
      <c r="AB328" s="8"/>
      <c r="AC328" s="8"/>
      <c r="AD328" s="8"/>
      <c r="AE328" s="8"/>
      <c r="AF328" s="8"/>
    </row>
    <row r="329" spans="1:32" ht="30">
      <c r="A329" s="8">
        <v>325</v>
      </c>
      <c r="B329" s="55"/>
      <c r="C329" s="8" t="s">
        <v>399</v>
      </c>
      <c r="D329" s="8" t="s">
        <v>378</v>
      </c>
      <c r="E329" s="8" t="s">
        <v>42</v>
      </c>
      <c r="F329" s="9" t="s">
        <v>66</v>
      </c>
      <c r="G329" s="9" t="s">
        <v>66</v>
      </c>
      <c r="H329" s="26" t="s">
        <v>240</v>
      </c>
      <c r="I329" s="8" t="s">
        <v>241</v>
      </c>
      <c r="J329" s="9">
        <v>45046</v>
      </c>
      <c r="K329" s="58"/>
      <c r="L329" s="16" t="s">
        <v>317</v>
      </c>
      <c r="M329" s="9">
        <f t="shared" si="95"/>
        <v>45056</v>
      </c>
      <c r="N329" s="8"/>
      <c r="O329" s="8" t="s">
        <v>47</v>
      </c>
      <c r="P329" s="9">
        <f t="shared" si="96"/>
        <v>45052</v>
      </c>
      <c r="Q329" s="9"/>
      <c r="R329" s="9">
        <f t="shared" si="97"/>
        <v>45055</v>
      </c>
      <c r="S329" s="9"/>
      <c r="T329" s="9">
        <f t="shared" si="98"/>
        <v>45058</v>
      </c>
      <c r="U329" s="9"/>
      <c r="V329" s="8"/>
      <c r="W329" s="17">
        <v>45073</v>
      </c>
      <c r="X329" s="17"/>
      <c r="Y329" s="8"/>
      <c r="Z329" s="17">
        <v>45077</v>
      </c>
      <c r="AA329" s="9"/>
      <c r="AB329" s="8"/>
      <c r="AC329" s="8"/>
      <c r="AD329" s="8"/>
      <c r="AE329" s="8"/>
      <c r="AF329" s="8"/>
    </row>
    <row r="330" spans="1:32" ht="15" hidden="1">
      <c r="A330" s="8">
        <v>326</v>
      </c>
      <c r="B330" s="55" t="s">
        <v>400</v>
      </c>
      <c r="C330" s="24" t="s">
        <v>401</v>
      </c>
      <c r="D330" s="8"/>
      <c r="E330" s="8"/>
      <c r="F330" s="9"/>
      <c r="G330" s="9"/>
      <c r="H330" s="26"/>
      <c r="I330" s="8"/>
      <c r="J330" s="9"/>
      <c r="K330" s="15"/>
      <c r="L330" s="16"/>
      <c r="M330" s="9"/>
      <c r="N330" s="8"/>
      <c r="O330" s="8"/>
      <c r="P330" s="9"/>
      <c r="Q330" s="9"/>
      <c r="R330" s="9"/>
      <c r="S330" s="9"/>
      <c r="T330" s="9"/>
      <c r="U330" s="9"/>
      <c r="V330" s="8"/>
      <c r="W330" s="17"/>
      <c r="X330" s="17"/>
      <c r="Y330" s="8"/>
      <c r="Z330" s="17"/>
      <c r="AA330" s="9"/>
      <c r="AB330" s="8"/>
      <c r="AC330" s="8"/>
      <c r="AD330" s="8"/>
      <c r="AE330" s="8"/>
      <c r="AF330" s="8"/>
    </row>
    <row r="331" spans="1:32" ht="30">
      <c r="A331" s="8">
        <v>327</v>
      </c>
      <c r="B331" s="55"/>
      <c r="C331" s="8" t="s">
        <v>318</v>
      </c>
      <c r="D331" s="8" t="s">
        <v>378</v>
      </c>
      <c r="E331" s="8" t="s">
        <v>42</v>
      </c>
      <c r="F331" s="9" t="s">
        <v>66</v>
      </c>
      <c r="G331" s="9" t="s">
        <v>66</v>
      </c>
      <c r="H331" s="26" t="s">
        <v>240</v>
      </c>
      <c r="I331" s="8" t="s">
        <v>241</v>
      </c>
      <c r="J331" s="9">
        <v>45021</v>
      </c>
      <c r="K331" s="58" t="s">
        <v>264</v>
      </c>
      <c r="L331" s="16" t="s">
        <v>317</v>
      </c>
      <c r="M331" s="9">
        <f t="shared" ref="M331:M353" si="99">J331+10</f>
        <v>45031</v>
      </c>
      <c r="N331" s="8"/>
      <c r="O331" s="8" t="s">
        <v>47</v>
      </c>
      <c r="P331" s="9">
        <f t="shared" ref="P331:P353" si="100">J331+6</f>
        <v>45027</v>
      </c>
      <c r="Q331" s="9"/>
      <c r="R331" s="9">
        <f t="shared" ref="R331:R353" si="101">J331+9</f>
        <v>45030</v>
      </c>
      <c r="S331" s="9"/>
      <c r="T331" s="9">
        <f t="shared" ref="T331:T353" si="102">J331+12</f>
        <v>45033</v>
      </c>
      <c r="U331" s="9"/>
      <c r="V331" s="8"/>
      <c r="W331" s="17">
        <v>45073</v>
      </c>
      <c r="X331" s="17"/>
      <c r="Y331" s="8"/>
      <c r="Z331" s="17">
        <v>45077</v>
      </c>
      <c r="AA331" s="9"/>
      <c r="AB331" s="8"/>
      <c r="AC331" s="8"/>
      <c r="AD331" s="8"/>
      <c r="AE331" s="8"/>
      <c r="AF331" s="8"/>
    </row>
    <row r="332" spans="1:32" ht="30">
      <c r="A332" s="8">
        <v>328</v>
      </c>
      <c r="B332" s="55"/>
      <c r="C332" s="8" t="s">
        <v>402</v>
      </c>
      <c r="D332" s="8" t="s">
        <v>378</v>
      </c>
      <c r="E332" s="8" t="s">
        <v>42</v>
      </c>
      <c r="F332" s="9" t="s">
        <v>66</v>
      </c>
      <c r="G332" s="9" t="s">
        <v>66</v>
      </c>
      <c r="H332" s="26" t="s">
        <v>240</v>
      </c>
      <c r="I332" s="8" t="s">
        <v>241</v>
      </c>
      <c r="J332" s="9">
        <v>45021</v>
      </c>
      <c r="K332" s="58"/>
      <c r="L332" s="16" t="s">
        <v>317</v>
      </c>
      <c r="M332" s="9">
        <f t="shared" si="99"/>
        <v>45031</v>
      </c>
      <c r="N332" s="8"/>
      <c r="O332" s="8" t="s">
        <v>47</v>
      </c>
      <c r="P332" s="9">
        <f t="shared" si="100"/>
        <v>45027</v>
      </c>
      <c r="Q332" s="9"/>
      <c r="R332" s="9">
        <f t="shared" si="101"/>
        <v>45030</v>
      </c>
      <c r="S332" s="9"/>
      <c r="T332" s="9">
        <f t="shared" si="102"/>
        <v>45033</v>
      </c>
      <c r="U332" s="9"/>
      <c r="V332" s="8"/>
      <c r="W332" s="17">
        <v>45073</v>
      </c>
      <c r="X332" s="17"/>
      <c r="Y332" s="8"/>
      <c r="Z332" s="17">
        <v>45077</v>
      </c>
      <c r="AA332" s="9"/>
      <c r="AB332" s="8"/>
      <c r="AC332" s="8"/>
      <c r="AD332" s="8"/>
      <c r="AE332" s="8"/>
      <c r="AF332" s="8"/>
    </row>
    <row r="333" spans="1:32" ht="30">
      <c r="A333" s="8">
        <v>329</v>
      </c>
      <c r="B333" s="55"/>
      <c r="C333" s="8" t="s">
        <v>403</v>
      </c>
      <c r="D333" s="8" t="s">
        <v>378</v>
      </c>
      <c r="E333" s="8" t="s">
        <v>42</v>
      </c>
      <c r="F333" s="9" t="s">
        <v>66</v>
      </c>
      <c r="G333" s="9" t="s">
        <v>66</v>
      </c>
      <c r="H333" s="26" t="s">
        <v>240</v>
      </c>
      <c r="I333" s="8" t="s">
        <v>241</v>
      </c>
      <c r="J333" s="9">
        <v>45021</v>
      </c>
      <c r="K333" s="58"/>
      <c r="L333" s="16" t="s">
        <v>317</v>
      </c>
      <c r="M333" s="9">
        <f t="shared" si="99"/>
        <v>45031</v>
      </c>
      <c r="N333" s="8"/>
      <c r="O333" s="8" t="s">
        <v>47</v>
      </c>
      <c r="P333" s="9">
        <f t="shared" si="100"/>
        <v>45027</v>
      </c>
      <c r="Q333" s="9"/>
      <c r="R333" s="9">
        <f t="shared" si="101"/>
        <v>45030</v>
      </c>
      <c r="S333" s="9"/>
      <c r="T333" s="9">
        <f t="shared" si="102"/>
        <v>45033</v>
      </c>
      <c r="U333" s="9"/>
      <c r="V333" s="8"/>
      <c r="W333" s="17">
        <v>45073</v>
      </c>
      <c r="X333" s="17"/>
      <c r="Y333" s="8"/>
      <c r="Z333" s="17">
        <v>45077</v>
      </c>
      <c r="AA333" s="9"/>
      <c r="AB333" s="8"/>
      <c r="AC333" s="8"/>
      <c r="AD333" s="8"/>
      <c r="AE333" s="8"/>
      <c r="AF333" s="8"/>
    </row>
    <row r="334" spans="1:32" ht="30">
      <c r="A334" s="8">
        <v>330</v>
      </c>
      <c r="B334" s="55"/>
      <c r="C334" s="8" t="s">
        <v>404</v>
      </c>
      <c r="D334" s="8" t="s">
        <v>378</v>
      </c>
      <c r="E334" s="8" t="s">
        <v>42</v>
      </c>
      <c r="F334" s="9" t="s">
        <v>66</v>
      </c>
      <c r="G334" s="9" t="s">
        <v>66</v>
      </c>
      <c r="H334" s="26" t="s">
        <v>240</v>
      </c>
      <c r="I334" s="8" t="s">
        <v>241</v>
      </c>
      <c r="J334" s="9">
        <v>45021</v>
      </c>
      <c r="K334" s="58"/>
      <c r="L334" s="16" t="s">
        <v>317</v>
      </c>
      <c r="M334" s="9">
        <f t="shared" si="99"/>
        <v>45031</v>
      </c>
      <c r="N334" s="8"/>
      <c r="O334" s="8" t="s">
        <v>47</v>
      </c>
      <c r="P334" s="9">
        <f t="shared" si="100"/>
        <v>45027</v>
      </c>
      <c r="Q334" s="9"/>
      <c r="R334" s="9">
        <f t="shared" si="101"/>
        <v>45030</v>
      </c>
      <c r="S334" s="9"/>
      <c r="T334" s="9">
        <f t="shared" si="102"/>
        <v>45033</v>
      </c>
      <c r="U334" s="9"/>
      <c r="V334" s="8"/>
      <c r="W334" s="17">
        <v>45073</v>
      </c>
      <c r="X334" s="17"/>
      <c r="Y334" s="8"/>
      <c r="Z334" s="17">
        <v>45077</v>
      </c>
      <c r="AA334" s="9"/>
      <c r="AB334" s="8"/>
      <c r="AC334" s="8"/>
      <c r="AD334" s="8"/>
      <c r="AE334" s="8"/>
      <c r="AF334" s="8"/>
    </row>
    <row r="335" spans="1:32" ht="30">
      <c r="A335" s="8">
        <v>331</v>
      </c>
      <c r="B335" s="55"/>
      <c r="C335" s="8" t="s">
        <v>405</v>
      </c>
      <c r="D335" s="8" t="s">
        <v>378</v>
      </c>
      <c r="E335" s="8" t="s">
        <v>42</v>
      </c>
      <c r="F335" s="9" t="s">
        <v>66</v>
      </c>
      <c r="G335" s="9" t="s">
        <v>66</v>
      </c>
      <c r="H335" s="26" t="s">
        <v>240</v>
      </c>
      <c r="I335" s="8" t="s">
        <v>241</v>
      </c>
      <c r="J335" s="9">
        <v>45021</v>
      </c>
      <c r="K335" s="58"/>
      <c r="L335" s="16" t="s">
        <v>317</v>
      </c>
      <c r="M335" s="9">
        <f t="shared" si="99"/>
        <v>45031</v>
      </c>
      <c r="N335" s="8"/>
      <c r="O335" s="8" t="s">
        <v>47</v>
      </c>
      <c r="P335" s="9">
        <f t="shared" si="100"/>
        <v>45027</v>
      </c>
      <c r="Q335" s="9"/>
      <c r="R335" s="9">
        <f t="shared" si="101"/>
        <v>45030</v>
      </c>
      <c r="S335" s="9"/>
      <c r="T335" s="9">
        <f t="shared" si="102"/>
        <v>45033</v>
      </c>
      <c r="U335" s="9"/>
      <c r="V335" s="8"/>
      <c r="W335" s="17">
        <v>45073</v>
      </c>
      <c r="X335" s="17"/>
      <c r="Y335" s="8"/>
      <c r="Z335" s="17">
        <v>45077</v>
      </c>
      <c r="AA335" s="9"/>
      <c r="AB335" s="8"/>
      <c r="AC335" s="8"/>
      <c r="AD335" s="8"/>
      <c r="AE335" s="8"/>
      <c r="AF335" s="8"/>
    </row>
    <row r="336" spans="1:32" ht="30">
      <c r="A336" s="8">
        <v>332</v>
      </c>
      <c r="B336" s="55"/>
      <c r="C336" s="8" t="s">
        <v>406</v>
      </c>
      <c r="D336" s="8" t="s">
        <v>378</v>
      </c>
      <c r="E336" s="8" t="s">
        <v>42</v>
      </c>
      <c r="F336" s="9" t="s">
        <v>66</v>
      </c>
      <c r="G336" s="9" t="s">
        <v>66</v>
      </c>
      <c r="H336" s="26" t="s">
        <v>240</v>
      </c>
      <c r="I336" s="8" t="s">
        <v>241</v>
      </c>
      <c r="J336" s="9">
        <v>45021</v>
      </c>
      <c r="K336" s="58"/>
      <c r="L336" s="16" t="s">
        <v>317</v>
      </c>
      <c r="M336" s="9">
        <f t="shared" si="99"/>
        <v>45031</v>
      </c>
      <c r="N336" s="8"/>
      <c r="O336" s="8" t="s">
        <v>47</v>
      </c>
      <c r="P336" s="9">
        <f t="shared" si="100"/>
        <v>45027</v>
      </c>
      <c r="Q336" s="9"/>
      <c r="R336" s="9">
        <f t="shared" si="101"/>
        <v>45030</v>
      </c>
      <c r="S336" s="9"/>
      <c r="T336" s="9">
        <f t="shared" si="102"/>
        <v>45033</v>
      </c>
      <c r="U336" s="9"/>
      <c r="V336" s="8"/>
      <c r="W336" s="17">
        <v>45073</v>
      </c>
      <c r="X336" s="17"/>
      <c r="Y336" s="8"/>
      <c r="Z336" s="17">
        <v>45077</v>
      </c>
      <c r="AA336" s="9"/>
      <c r="AB336" s="8"/>
      <c r="AC336" s="8"/>
      <c r="AD336" s="8"/>
      <c r="AE336" s="8"/>
      <c r="AF336" s="8"/>
    </row>
    <row r="337" spans="1:32" ht="30">
      <c r="A337" s="8">
        <v>333</v>
      </c>
      <c r="B337" s="55"/>
      <c r="C337" s="8" t="s">
        <v>407</v>
      </c>
      <c r="D337" s="8" t="s">
        <v>378</v>
      </c>
      <c r="E337" s="8" t="s">
        <v>42</v>
      </c>
      <c r="F337" s="9" t="s">
        <v>66</v>
      </c>
      <c r="G337" s="9" t="s">
        <v>66</v>
      </c>
      <c r="H337" s="26" t="s">
        <v>240</v>
      </c>
      <c r="I337" s="8" t="s">
        <v>241</v>
      </c>
      <c r="J337" s="9">
        <v>45021</v>
      </c>
      <c r="K337" s="58"/>
      <c r="L337" s="16" t="s">
        <v>317</v>
      </c>
      <c r="M337" s="9">
        <f t="shared" si="99"/>
        <v>45031</v>
      </c>
      <c r="N337" s="8"/>
      <c r="O337" s="8" t="s">
        <v>47</v>
      </c>
      <c r="P337" s="9">
        <f t="shared" si="100"/>
        <v>45027</v>
      </c>
      <c r="Q337" s="9"/>
      <c r="R337" s="9">
        <f t="shared" si="101"/>
        <v>45030</v>
      </c>
      <c r="S337" s="9"/>
      <c r="T337" s="9">
        <f t="shared" si="102"/>
        <v>45033</v>
      </c>
      <c r="U337" s="9"/>
      <c r="V337" s="8"/>
      <c r="W337" s="17">
        <v>45073</v>
      </c>
      <c r="X337" s="17"/>
      <c r="Y337" s="8"/>
      <c r="Z337" s="17">
        <v>45077</v>
      </c>
      <c r="AA337" s="9"/>
      <c r="AB337" s="8"/>
      <c r="AC337" s="8"/>
      <c r="AD337" s="8"/>
      <c r="AE337" s="8"/>
      <c r="AF337" s="8"/>
    </row>
    <row r="338" spans="1:32" ht="30">
      <c r="A338" s="8">
        <v>334</v>
      </c>
      <c r="B338" s="55"/>
      <c r="C338" s="8" t="s">
        <v>408</v>
      </c>
      <c r="D338" s="8" t="s">
        <v>378</v>
      </c>
      <c r="E338" s="8" t="s">
        <v>42</v>
      </c>
      <c r="F338" s="9" t="s">
        <v>66</v>
      </c>
      <c r="G338" s="9" t="s">
        <v>66</v>
      </c>
      <c r="H338" s="26" t="s">
        <v>240</v>
      </c>
      <c r="I338" s="8" t="s">
        <v>241</v>
      </c>
      <c r="J338" s="9">
        <v>45021</v>
      </c>
      <c r="K338" s="58"/>
      <c r="L338" s="16" t="s">
        <v>317</v>
      </c>
      <c r="M338" s="9">
        <f t="shared" si="99"/>
        <v>45031</v>
      </c>
      <c r="N338" s="8"/>
      <c r="O338" s="8" t="s">
        <v>47</v>
      </c>
      <c r="P338" s="9">
        <f t="shared" si="100"/>
        <v>45027</v>
      </c>
      <c r="Q338" s="9"/>
      <c r="R338" s="9">
        <f t="shared" si="101"/>
        <v>45030</v>
      </c>
      <c r="S338" s="9"/>
      <c r="T338" s="9">
        <f t="shared" si="102"/>
        <v>45033</v>
      </c>
      <c r="U338" s="9"/>
      <c r="V338" s="8"/>
      <c r="W338" s="17">
        <v>45073</v>
      </c>
      <c r="X338" s="17"/>
      <c r="Y338" s="8"/>
      <c r="Z338" s="17">
        <v>45077</v>
      </c>
      <c r="AA338" s="9"/>
      <c r="AB338" s="8"/>
      <c r="AC338" s="8"/>
      <c r="AD338" s="8"/>
      <c r="AE338" s="8"/>
      <c r="AF338" s="8"/>
    </row>
    <row r="339" spans="1:32" ht="30">
      <c r="A339" s="8">
        <v>335</v>
      </c>
      <c r="B339" s="55"/>
      <c r="C339" s="8" t="s">
        <v>409</v>
      </c>
      <c r="D339" s="8" t="s">
        <v>378</v>
      </c>
      <c r="E339" s="8" t="s">
        <v>42</v>
      </c>
      <c r="F339" s="9" t="s">
        <v>66</v>
      </c>
      <c r="G339" s="9" t="s">
        <v>66</v>
      </c>
      <c r="H339" s="26" t="s">
        <v>240</v>
      </c>
      <c r="I339" s="8" t="s">
        <v>241</v>
      </c>
      <c r="J339" s="9">
        <v>45021</v>
      </c>
      <c r="K339" s="58"/>
      <c r="L339" s="16" t="s">
        <v>317</v>
      </c>
      <c r="M339" s="9">
        <f t="shared" si="99"/>
        <v>45031</v>
      </c>
      <c r="N339" s="8"/>
      <c r="O339" s="8" t="s">
        <v>47</v>
      </c>
      <c r="P339" s="9">
        <f t="shared" si="100"/>
        <v>45027</v>
      </c>
      <c r="Q339" s="9"/>
      <c r="R339" s="9">
        <f t="shared" si="101"/>
        <v>45030</v>
      </c>
      <c r="S339" s="9"/>
      <c r="T339" s="9">
        <f t="shared" si="102"/>
        <v>45033</v>
      </c>
      <c r="U339" s="9"/>
      <c r="V339" s="8"/>
      <c r="W339" s="17">
        <v>45073</v>
      </c>
      <c r="X339" s="17"/>
      <c r="Y339" s="8"/>
      <c r="Z339" s="17">
        <v>45077</v>
      </c>
      <c r="AA339" s="9"/>
      <c r="AB339" s="8"/>
      <c r="AC339" s="8"/>
      <c r="AD339" s="8"/>
      <c r="AE339" s="8"/>
      <c r="AF339" s="8"/>
    </row>
    <row r="340" spans="1:32" ht="30">
      <c r="A340" s="8">
        <v>336</v>
      </c>
      <c r="B340" s="55"/>
      <c r="C340" s="8" t="s">
        <v>410</v>
      </c>
      <c r="D340" s="8" t="s">
        <v>378</v>
      </c>
      <c r="E340" s="8" t="s">
        <v>42</v>
      </c>
      <c r="F340" s="9" t="s">
        <v>66</v>
      </c>
      <c r="G340" s="9" t="s">
        <v>66</v>
      </c>
      <c r="H340" s="26" t="s">
        <v>240</v>
      </c>
      <c r="I340" s="8" t="s">
        <v>241</v>
      </c>
      <c r="J340" s="9">
        <v>45021</v>
      </c>
      <c r="K340" s="58"/>
      <c r="L340" s="16" t="s">
        <v>317</v>
      </c>
      <c r="M340" s="9">
        <f t="shared" si="99"/>
        <v>45031</v>
      </c>
      <c r="N340" s="8"/>
      <c r="O340" s="8" t="s">
        <v>47</v>
      </c>
      <c r="P340" s="9">
        <f t="shared" si="100"/>
        <v>45027</v>
      </c>
      <c r="Q340" s="9"/>
      <c r="R340" s="9">
        <f t="shared" si="101"/>
        <v>45030</v>
      </c>
      <c r="S340" s="9"/>
      <c r="T340" s="9">
        <f t="shared" si="102"/>
        <v>45033</v>
      </c>
      <c r="U340" s="9"/>
      <c r="V340" s="8"/>
      <c r="W340" s="17">
        <v>45073</v>
      </c>
      <c r="X340" s="17"/>
      <c r="Y340" s="8"/>
      <c r="Z340" s="17">
        <v>45077</v>
      </c>
      <c r="AA340" s="9"/>
      <c r="AB340" s="8"/>
      <c r="AC340" s="8"/>
      <c r="AD340" s="8"/>
      <c r="AE340" s="8"/>
      <c r="AF340" s="8"/>
    </row>
    <row r="341" spans="1:32" ht="30">
      <c r="A341" s="8">
        <v>337</v>
      </c>
      <c r="B341" s="55"/>
      <c r="C341" s="8" t="s">
        <v>411</v>
      </c>
      <c r="D341" s="8" t="s">
        <v>378</v>
      </c>
      <c r="E341" s="8" t="s">
        <v>42</v>
      </c>
      <c r="F341" s="9" t="s">
        <v>66</v>
      </c>
      <c r="G341" s="9" t="s">
        <v>66</v>
      </c>
      <c r="H341" s="26" t="s">
        <v>240</v>
      </c>
      <c r="I341" s="8" t="s">
        <v>241</v>
      </c>
      <c r="J341" s="9">
        <v>45021</v>
      </c>
      <c r="K341" s="58"/>
      <c r="L341" s="16" t="s">
        <v>317</v>
      </c>
      <c r="M341" s="9">
        <f t="shared" si="99"/>
        <v>45031</v>
      </c>
      <c r="N341" s="8"/>
      <c r="O341" s="8" t="s">
        <v>47</v>
      </c>
      <c r="P341" s="9">
        <f t="shared" si="100"/>
        <v>45027</v>
      </c>
      <c r="Q341" s="9"/>
      <c r="R341" s="9">
        <f t="shared" si="101"/>
        <v>45030</v>
      </c>
      <c r="S341" s="9"/>
      <c r="T341" s="9">
        <f t="shared" si="102"/>
        <v>45033</v>
      </c>
      <c r="U341" s="9"/>
      <c r="V341" s="8"/>
      <c r="W341" s="17">
        <v>45073</v>
      </c>
      <c r="X341" s="17"/>
      <c r="Y341" s="8"/>
      <c r="Z341" s="17">
        <v>45077</v>
      </c>
      <c r="AA341" s="9"/>
      <c r="AB341" s="8"/>
      <c r="AC341" s="8"/>
      <c r="AD341" s="8"/>
      <c r="AE341" s="8"/>
      <c r="AF341" s="8"/>
    </row>
    <row r="342" spans="1:32" ht="30">
      <c r="A342" s="8">
        <v>338</v>
      </c>
      <c r="B342" s="55"/>
      <c r="C342" s="8" t="s">
        <v>412</v>
      </c>
      <c r="D342" s="8" t="s">
        <v>378</v>
      </c>
      <c r="E342" s="8" t="s">
        <v>42</v>
      </c>
      <c r="F342" s="9" t="s">
        <v>66</v>
      </c>
      <c r="G342" s="9" t="s">
        <v>66</v>
      </c>
      <c r="H342" s="26" t="s">
        <v>240</v>
      </c>
      <c r="I342" s="8" t="s">
        <v>241</v>
      </c>
      <c r="J342" s="9">
        <v>45021</v>
      </c>
      <c r="K342" s="58"/>
      <c r="L342" s="16" t="s">
        <v>317</v>
      </c>
      <c r="M342" s="9">
        <f t="shared" si="99"/>
        <v>45031</v>
      </c>
      <c r="N342" s="8"/>
      <c r="O342" s="8" t="s">
        <v>47</v>
      </c>
      <c r="P342" s="9">
        <f t="shared" si="100"/>
        <v>45027</v>
      </c>
      <c r="Q342" s="9"/>
      <c r="R342" s="9">
        <f t="shared" si="101"/>
        <v>45030</v>
      </c>
      <c r="S342" s="9"/>
      <c r="T342" s="9">
        <f t="shared" si="102"/>
        <v>45033</v>
      </c>
      <c r="U342" s="9"/>
      <c r="V342" s="8"/>
      <c r="W342" s="17">
        <v>45073</v>
      </c>
      <c r="X342" s="17"/>
      <c r="Y342" s="8"/>
      <c r="Z342" s="17">
        <v>45077</v>
      </c>
      <c r="AA342" s="9"/>
      <c r="AB342" s="8"/>
      <c r="AC342" s="8"/>
      <c r="AD342" s="8"/>
      <c r="AE342" s="8"/>
      <c r="AF342" s="8"/>
    </row>
    <row r="343" spans="1:32" ht="30">
      <c r="A343" s="8">
        <v>339</v>
      </c>
      <c r="B343" s="55"/>
      <c r="C343" s="8" t="s">
        <v>413</v>
      </c>
      <c r="D343" s="8" t="s">
        <v>378</v>
      </c>
      <c r="E343" s="8" t="s">
        <v>42</v>
      </c>
      <c r="F343" s="9" t="s">
        <v>66</v>
      </c>
      <c r="G343" s="9" t="s">
        <v>66</v>
      </c>
      <c r="H343" s="26" t="s">
        <v>240</v>
      </c>
      <c r="I343" s="8" t="s">
        <v>241</v>
      </c>
      <c r="J343" s="9">
        <v>45021</v>
      </c>
      <c r="K343" s="58"/>
      <c r="L343" s="16" t="s">
        <v>317</v>
      </c>
      <c r="M343" s="9">
        <f t="shared" si="99"/>
        <v>45031</v>
      </c>
      <c r="N343" s="8"/>
      <c r="O343" s="8" t="s">
        <v>47</v>
      </c>
      <c r="P343" s="9">
        <f t="shared" si="100"/>
        <v>45027</v>
      </c>
      <c r="Q343" s="9"/>
      <c r="R343" s="9">
        <f t="shared" si="101"/>
        <v>45030</v>
      </c>
      <c r="S343" s="9"/>
      <c r="T343" s="9">
        <f t="shared" si="102"/>
        <v>45033</v>
      </c>
      <c r="U343" s="9"/>
      <c r="V343" s="8"/>
      <c r="W343" s="17">
        <v>45073</v>
      </c>
      <c r="X343" s="17"/>
      <c r="Y343" s="8"/>
      <c r="Z343" s="17">
        <v>45077</v>
      </c>
      <c r="AA343" s="9"/>
      <c r="AB343" s="8"/>
      <c r="AC343" s="8"/>
      <c r="AD343" s="8"/>
      <c r="AE343" s="8"/>
      <c r="AF343" s="8"/>
    </row>
    <row r="344" spans="1:32" ht="30">
      <c r="A344" s="8">
        <v>340</v>
      </c>
      <c r="B344" s="55"/>
      <c r="C344" s="8" t="s">
        <v>414</v>
      </c>
      <c r="D344" s="8" t="s">
        <v>378</v>
      </c>
      <c r="E344" s="8" t="s">
        <v>42</v>
      </c>
      <c r="F344" s="9" t="s">
        <v>66</v>
      </c>
      <c r="G344" s="9" t="s">
        <v>66</v>
      </c>
      <c r="H344" s="26" t="s">
        <v>240</v>
      </c>
      <c r="I344" s="8" t="s">
        <v>241</v>
      </c>
      <c r="J344" s="9">
        <v>45021</v>
      </c>
      <c r="K344" s="58"/>
      <c r="L344" s="16" t="s">
        <v>317</v>
      </c>
      <c r="M344" s="9">
        <f t="shared" si="99"/>
        <v>45031</v>
      </c>
      <c r="N344" s="8"/>
      <c r="O344" s="8" t="s">
        <v>47</v>
      </c>
      <c r="P344" s="9">
        <f t="shared" si="100"/>
        <v>45027</v>
      </c>
      <c r="Q344" s="9"/>
      <c r="R344" s="9">
        <f t="shared" si="101"/>
        <v>45030</v>
      </c>
      <c r="S344" s="9"/>
      <c r="T344" s="9">
        <f t="shared" si="102"/>
        <v>45033</v>
      </c>
      <c r="U344" s="9"/>
      <c r="V344" s="8"/>
      <c r="W344" s="17">
        <v>45073</v>
      </c>
      <c r="X344" s="17"/>
      <c r="Y344" s="8"/>
      <c r="Z344" s="17">
        <v>45077</v>
      </c>
      <c r="AA344" s="9"/>
      <c r="AB344" s="8"/>
      <c r="AC344" s="8"/>
      <c r="AD344" s="8"/>
      <c r="AE344" s="8"/>
      <c r="AF344" s="8"/>
    </row>
    <row r="345" spans="1:32" ht="30">
      <c r="A345" s="8">
        <v>341</v>
      </c>
      <c r="B345" s="55"/>
      <c r="C345" s="8" t="s">
        <v>415</v>
      </c>
      <c r="D345" s="8" t="s">
        <v>378</v>
      </c>
      <c r="E345" s="8" t="s">
        <v>42</v>
      </c>
      <c r="F345" s="9" t="s">
        <v>66</v>
      </c>
      <c r="G345" s="9" t="s">
        <v>66</v>
      </c>
      <c r="H345" s="26" t="s">
        <v>240</v>
      </c>
      <c r="I345" s="8" t="s">
        <v>241</v>
      </c>
      <c r="J345" s="9">
        <v>45021</v>
      </c>
      <c r="K345" s="58"/>
      <c r="L345" s="16" t="s">
        <v>317</v>
      </c>
      <c r="M345" s="9">
        <f t="shared" si="99"/>
        <v>45031</v>
      </c>
      <c r="N345" s="8"/>
      <c r="O345" s="8" t="s">
        <v>47</v>
      </c>
      <c r="P345" s="9">
        <f t="shared" si="100"/>
        <v>45027</v>
      </c>
      <c r="Q345" s="9"/>
      <c r="R345" s="9">
        <f t="shared" si="101"/>
        <v>45030</v>
      </c>
      <c r="S345" s="9"/>
      <c r="T345" s="9">
        <f t="shared" si="102"/>
        <v>45033</v>
      </c>
      <c r="U345" s="9"/>
      <c r="V345" s="8"/>
      <c r="W345" s="17">
        <v>45073</v>
      </c>
      <c r="X345" s="17"/>
      <c r="Y345" s="8"/>
      <c r="Z345" s="17">
        <v>45077</v>
      </c>
      <c r="AA345" s="9"/>
      <c r="AB345" s="8"/>
      <c r="AC345" s="8"/>
      <c r="AD345" s="8"/>
      <c r="AE345" s="8"/>
      <c r="AF345" s="8"/>
    </row>
    <row r="346" spans="1:32" ht="30">
      <c r="A346" s="8">
        <v>342</v>
      </c>
      <c r="B346" s="55"/>
      <c r="C346" s="8" t="s">
        <v>416</v>
      </c>
      <c r="D346" s="8" t="s">
        <v>378</v>
      </c>
      <c r="E346" s="8" t="s">
        <v>42</v>
      </c>
      <c r="F346" s="9" t="s">
        <v>66</v>
      </c>
      <c r="G346" s="9" t="s">
        <v>66</v>
      </c>
      <c r="H346" s="26" t="s">
        <v>240</v>
      </c>
      <c r="I346" s="8" t="s">
        <v>241</v>
      </c>
      <c r="J346" s="9">
        <v>45021</v>
      </c>
      <c r="K346" s="58"/>
      <c r="L346" s="16" t="s">
        <v>317</v>
      </c>
      <c r="M346" s="9">
        <f t="shared" si="99"/>
        <v>45031</v>
      </c>
      <c r="N346" s="8"/>
      <c r="O346" s="8" t="s">
        <v>47</v>
      </c>
      <c r="P346" s="9">
        <f t="shared" si="100"/>
        <v>45027</v>
      </c>
      <c r="Q346" s="9"/>
      <c r="R346" s="9">
        <f t="shared" si="101"/>
        <v>45030</v>
      </c>
      <c r="S346" s="9"/>
      <c r="T346" s="9">
        <f t="shared" si="102"/>
        <v>45033</v>
      </c>
      <c r="U346" s="9"/>
      <c r="V346" s="8"/>
      <c r="W346" s="17">
        <v>45073</v>
      </c>
      <c r="X346" s="17"/>
      <c r="Y346" s="8"/>
      <c r="Z346" s="17">
        <v>45077</v>
      </c>
      <c r="AA346" s="9"/>
      <c r="AB346" s="8"/>
      <c r="AC346" s="8"/>
      <c r="AD346" s="8"/>
      <c r="AE346" s="8"/>
      <c r="AF346" s="8"/>
    </row>
    <row r="347" spans="1:32" ht="30">
      <c r="A347" s="8">
        <v>343</v>
      </c>
      <c r="B347" s="55"/>
      <c r="C347" s="8" t="s">
        <v>417</v>
      </c>
      <c r="D347" s="8" t="s">
        <v>378</v>
      </c>
      <c r="E347" s="8" t="s">
        <v>42</v>
      </c>
      <c r="F347" s="9" t="s">
        <v>66</v>
      </c>
      <c r="G347" s="9" t="s">
        <v>66</v>
      </c>
      <c r="H347" s="26" t="s">
        <v>240</v>
      </c>
      <c r="I347" s="8" t="s">
        <v>241</v>
      </c>
      <c r="J347" s="9">
        <v>45021</v>
      </c>
      <c r="K347" s="58"/>
      <c r="L347" s="16" t="s">
        <v>317</v>
      </c>
      <c r="M347" s="9">
        <f t="shared" si="99"/>
        <v>45031</v>
      </c>
      <c r="N347" s="8"/>
      <c r="O347" s="8" t="s">
        <v>47</v>
      </c>
      <c r="P347" s="9">
        <f t="shared" si="100"/>
        <v>45027</v>
      </c>
      <c r="Q347" s="9"/>
      <c r="R347" s="9">
        <f t="shared" si="101"/>
        <v>45030</v>
      </c>
      <c r="S347" s="9"/>
      <c r="T347" s="9">
        <f t="shared" si="102"/>
        <v>45033</v>
      </c>
      <c r="U347" s="9"/>
      <c r="V347" s="8"/>
      <c r="W347" s="17">
        <v>45073</v>
      </c>
      <c r="X347" s="17"/>
      <c r="Y347" s="8"/>
      <c r="Z347" s="17">
        <v>45077</v>
      </c>
      <c r="AA347" s="9"/>
      <c r="AB347" s="8"/>
      <c r="AC347" s="8"/>
      <c r="AD347" s="8"/>
      <c r="AE347" s="8"/>
      <c r="AF347" s="8"/>
    </row>
    <row r="348" spans="1:32" ht="30">
      <c r="A348" s="8">
        <v>344</v>
      </c>
      <c r="B348" s="55"/>
      <c r="C348" s="8" t="s">
        <v>418</v>
      </c>
      <c r="D348" s="8" t="s">
        <v>378</v>
      </c>
      <c r="E348" s="8" t="s">
        <v>42</v>
      </c>
      <c r="F348" s="9" t="s">
        <v>66</v>
      </c>
      <c r="G348" s="9" t="s">
        <v>66</v>
      </c>
      <c r="H348" s="26" t="s">
        <v>240</v>
      </c>
      <c r="I348" s="8" t="s">
        <v>241</v>
      </c>
      <c r="J348" s="9">
        <v>45021</v>
      </c>
      <c r="K348" s="58"/>
      <c r="L348" s="16" t="s">
        <v>317</v>
      </c>
      <c r="M348" s="9">
        <f t="shared" si="99"/>
        <v>45031</v>
      </c>
      <c r="N348" s="8"/>
      <c r="O348" s="8" t="s">
        <v>47</v>
      </c>
      <c r="P348" s="9">
        <f t="shared" si="100"/>
        <v>45027</v>
      </c>
      <c r="Q348" s="9"/>
      <c r="R348" s="9">
        <f t="shared" si="101"/>
        <v>45030</v>
      </c>
      <c r="S348" s="9"/>
      <c r="T348" s="9">
        <f t="shared" si="102"/>
        <v>45033</v>
      </c>
      <c r="U348" s="9"/>
      <c r="V348" s="8"/>
      <c r="W348" s="17">
        <v>45073</v>
      </c>
      <c r="X348" s="17"/>
      <c r="Y348" s="8"/>
      <c r="Z348" s="17">
        <v>45077</v>
      </c>
      <c r="AA348" s="9"/>
      <c r="AB348" s="8"/>
      <c r="AC348" s="8"/>
      <c r="AD348" s="8"/>
      <c r="AE348" s="8"/>
      <c r="AF348" s="8"/>
    </row>
    <row r="349" spans="1:32" ht="30">
      <c r="A349" s="8">
        <v>345</v>
      </c>
      <c r="B349" s="55"/>
      <c r="C349" s="8" t="s">
        <v>419</v>
      </c>
      <c r="D349" s="8" t="s">
        <v>378</v>
      </c>
      <c r="E349" s="8" t="s">
        <v>42</v>
      </c>
      <c r="F349" s="9" t="s">
        <v>66</v>
      </c>
      <c r="G349" s="9" t="s">
        <v>66</v>
      </c>
      <c r="H349" s="26" t="s">
        <v>240</v>
      </c>
      <c r="I349" s="8" t="s">
        <v>241</v>
      </c>
      <c r="J349" s="9">
        <v>45021</v>
      </c>
      <c r="K349" s="58"/>
      <c r="L349" s="16" t="s">
        <v>317</v>
      </c>
      <c r="M349" s="9">
        <f t="shared" si="99"/>
        <v>45031</v>
      </c>
      <c r="N349" s="8"/>
      <c r="O349" s="8" t="s">
        <v>47</v>
      </c>
      <c r="P349" s="9">
        <f t="shared" si="100"/>
        <v>45027</v>
      </c>
      <c r="Q349" s="9"/>
      <c r="R349" s="9">
        <f t="shared" si="101"/>
        <v>45030</v>
      </c>
      <c r="S349" s="9"/>
      <c r="T349" s="9">
        <f t="shared" si="102"/>
        <v>45033</v>
      </c>
      <c r="U349" s="9"/>
      <c r="V349" s="8"/>
      <c r="W349" s="17">
        <v>45073</v>
      </c>
      <c r="X349" s="17"/>
      <c r="Y349" s="8"/>
      <c r="Z349" s="17">
        <v>45077</v>
      </c>
      <c r="AA349" s="9"/>
      <c r="AB349" s="8"/>
      <c r="AC349" s="8"/>
      <c r="AD349" s="8"/>
      <c r="AE349" s="8"/>
      <c r="AF349" s="8"/>
    </row>
    <row r="350" spans="1:32" ht="30">
      <c r="A350" s="8">
        <v>346</v>
      </c>
      <c r="B350" s="55"/>
      <c r="C350" s="8" t="s">
        <v>420</v>
      </c>
      <c r="D350" s="8" t="s">
        <v>378</v>
      </c>
      <c r="E350" s="8" t="s">
        <v>42</v>
      </c>
      <c r="F350" s="9" t="s">
        <v>66</v>
      </c>
      <c r="G350" s="9" t="s">
        <v>66</v>
      </c>
      <c r="H350" s="26" t="s">
        <v>240</v>
      </c>
      <c r="I350" s="8" t="s">
        <v>241</v>
      </c>
      <c r="J350" s="9">
        <v>45021</v>
      </c>
      <c r="K350" s="58"/>
      <c r="L350" s="16" t="s">
        <v>317</v>
      </c>
      <c r="M350" s="9">
        <f t="shared" si="99"/>
        <v>45031</v>
      </c>
      <c r="N350" s="8"/>
      <c r="O350" s="8" t="s">
        <v>47</v>
      </c>
      <c r="P350" s="9">
        <f t="shared" si="100"/>
        <v>45027</v>
      </c>
      <c r="Q350" s="9"/>
      <c r="R350" s="9">
        <f t="shared" si="101"/>
        <v>45030</v>
      </c>
      <c r="S350" s="9"/>
      <c r="T350" s="9">
        <f t="shared" si="102"/>
        <v>45033</v>
      </c>
      <c r="U350" s="9"/>
      <c r="V350" s="8"/>
      <c r="W350" s="17">
        <v>45073</v>
      </c>
      <c r="X350" s="17"/>
      <c r="Y350" s="8"/>
      <c r="Z350" s="17">
        <v>45077</v>
      </c>
      <c r="AA350" s="9"/>
      <c r="AB350" s="8"/>
      <c r="AC350" s="8"/>
      <c r="AD350" s="8"/>
      <c r="AE350" s="8"/>
      <c r="AF350" s="8"/>
    </row>
    <row r="351" spans="1:32" ht="30">
      <c r="A351" s="8">
        <v>347</v>
      </c>
      <c r="B351" s="55"/>
      <c r="C351" s="8" t="s">
        <v>421</v>
      </c>
      <c r="D351" s="8" t="s">
        <v>378</v>
      </c>
      <c r="E351" s="8" t="s">
        <v>42</v>
      </c>
      <c r="F351" s="9" t="s">
        <v>66</v>
      </c>
      <c r="G351" s="9" t="s">
        <v>66</v>
      </c>
      <c r="H351" s="26" t="s">
        <v>240</v>
      </c>
      <c r="I351" s="8" t="s">
        <v>241</v>
      </c>
      <c r="J351" s="9">
        <v>45021</v>
      </c>
      <c r="K351" s="58"/>
      <c r="L351" s="16" t="s">
        <v>317</v>
      </c>
      <c r="M351" s="9">
        <f t="shared" si="99"/>
        <v>45031</v>
      </c>
      <c r="N351" s="8"/>
      <c r="O351" s="8" t="s">
        <v>47</v>
      </c>
      <c r="P351" s="9">
        <f t="shared" si="100"/>
        <v>45027</v>
      </c>
      <c r="Q351" s="9"/>
      <c r="R351" s="9">
        <f t="shared" si="101"/>
        <v>45030</v>
      </c>
      <c r="S351" s="9"/>
      <c r="T351" s="9">
        <f t="shared" si="102"/>
        <v>45033</v>
      </c>
      <c r="U351" s="9"/>
      <c r="V351" s="8"/>
      <c r="W351" s="17">
        <v>45073</v>
      </c>
      <c r="X351" s="17"/>
      <c r="Y351" s="8"/>
      <c r="Z351" s="17">
        <v>45077</v>
      </c>
      <c r="AA351" s="9"/>
      <c r="AB351" s="8"/>
      <c r="AC351" s="8"/>
      <c r="AD351" s="8"/>
      <c r="AE351" s="8"/>
      <c r="AF351" s="8"/>
    </row>
    <row r="352" spans="1:32" ht="30">
      <c r="A352" s="8">
        <v>348</v>
      </c>
      <c r="B352" s="55"/>
      <c r="C352" s="8" t="s">
        <v>422</v>
      </c>
      <c r="D352" s="8" t="s">
        <v>378</v>
      </c>
      <c r="E352" s="8" t="s">
        <v>42</v>
      </c>
      <c r="F352" s="9" t="s">
        <v>66</v>
      </c>
      <c r="G352" s="9" t="s">
        <v>66</v>
      </c>
      <c r="H352" s="26" t="s">
        <v>240</v>
      </c>
      <c r="I352" s="8" t="s">
        <v>241</v>
      </c>
      <c r="J352" s="9">
        <v>45021</v>
      </c>
      <c r="K352" s="58"/>
      <c r="L352" s="16" t="s">
        <v>317</v>
      </c>
      <c r="M352" s="9">
        <f t="shared" si="99"/>
        <v>45031</v>
      </c>
      <c r="N352" s="8"/>
      <c r="O352" s="8" t="s">
        <v>47</v>
      </c>
      <c r="P352" s="9">
        <f t="shared" si="100"/>
        <v>45027</v>
      </c>
      <c r="Q352" s="9"/>
      <c r="R352" s="9">
        <f t="shared" si="101"/>
        <v>45030</v>
      </c>
      <c r="S352" s="9"/>
      <c r="T352" s="9">
        <f t="shared" si="102"/>
        <v>45033</v>
      </c>
      <c r="U352" s="9"/>
      <c r="V352" s="8"/>
      <c r="W352" s="17">
        <v>45073</v>
      </c>
      <c r="X352" s="17"/>
      <c r="Y352" s="8"/>
      <c r="Z352" s="17">
        <v>45077</v>
      </c>
      <c r="AA352" s="9"/>
      <c r="AB352" s="8"/>
      <c r="AC352" s="8"/>
      <c r="AD352" s="8"/>
      <c r="AE352" s="8"/>
      <c r="AF352" s="8"/>
    </row>
    <row r="353" spans="1:32" ht="30">
      <c r="A353" s="8">
        <v>349</v>
      </c>
      <c r="B353" s="55"/>
      <c r="C353" s="8" t="s">
        <v>423</v>
      </c>
      <c r="D353" s="8" t="s">
        <v>378</v>
      </c>
      <c r="E353" s="8" t="s">
        <v>42</v>
      </c>
      <c r="F353" s="9" t="s">
        <v>66</v>
      </c>
      <c r="G353" s="9" t="s">
        <v>66</v>
      </c>
      <c r="H353" s="26" t="s">
        <v>240</v>
      </c>
      <c r="I353" s="8" t="s">
        <v>241</v>
      </c>
      <c r="J353" s="9">
        <v>45021</v>
      </c>
      <c r="K353" s="58"/>
      <c r="L353" s="16" t="s">
        <v>317</v>
      </c>
      <c r="M353" s="9">
        <f t="shared" si="99"/>
        <v>45031</v>
      </c>
      <c r="N353" s="8"/>
      <c r="O353" s="8" t="s">
        <v>47</v>
      </c>
      <c r="P353" s="9">
        <f t="shared" si="100"/>
        <v>45027</v>
      </c>
      <c r="Q353" s="9"/>
      <c r="R353" s="9">
        <f t="shared" si="101"/>
        <v>45030</v>
      </c>
      <c r="S353" s="9"/>
      <c r="T353" s="9">
        <f t="shared" si="102"/>
        <v>45033</v>
      </c>
      <c r="U353" s="9"/>
      <c r="V353" s="8"/>
      <c r="W353" s="17">
        <v>45073</v>
      </c>
      <c r="X353" s="17"/>
      <c r="Y353" s="8"/>
      <c r="Z353" s="17">
        <v>45077</v>
      </c>
      <c r="AA353" s="9"/>
      <c r="AB353" s="8"/>
      <c r="AC353" s="8"/>
      <c r="AD353" s="8"/>
      <c r="AE353" s="8"/>
      <c r="AF353" s="8"/>
    </row>
    <row r="354" spans="1:32" ht="15" hidden="1">
      <c r="A354" s="8">
        <v>350</v>
      </c>
      <c r="B354" s="55"/>
      <c r="C354" s="24" t="s">
        <v>424</v>
      </c>
      <c r="D354" s="8"/>
      <c r="E354" s="8"/>
      <c r="F354" s="9"/>
      <c r="G354" s="9"/>
      <c r="H354" s="26"/>
      <c r="I354" s="8"/>
      <c r="J354" s="9"/>
      <c r="K354" s="15"/>
      <c r="L354" s="16"/>
      <c r="M354" s="9"/>
      <c r="N354" s="8"/>
      <c r="O354" s="8"/>
      <c r="P354" s="9"/>
      <c r="Q354" s="9"/>
      <c r="R354" s="9"/>
      <c r="S354" s="9"/>
      <c r="T354" s="9"/>
      <c r="U354" s="9"/>
      <c r="V354" s="8"/>
      <c r="W354" s="17"/>
      <c r="X354" s="17"/>
      <c r="Y354" s="8"/>
      <c r="Z354" s="17"/>
      <c r="AA354" s="9"/>
      <c r="AB354" s="8"/>
      <c r="AC354" s="8"/>
      <c r="AD354" s="8"/>
      <c r="AE354" s="8"/>
      <c r="AF354" s="8"/>
    </row>
    <row r="355" spans="1:32" ht="30">
      <c r="A355" s="8">
        <v>351</v>
      </c>
      <c r="B355" s="55"/>
      <c r="C355" s="8" t="s">
        <v>425</v>
      </c>
      <c r="D355" s="8" t="s">
        <v>426</v>
      </c>
      <c r="E355" s="8" t="s">
        <v>42</v>
      </c>
      <c r="F355" s="9" t="s">
        <v>66</v>
      </c>
      <c r="G355" s="9" t="s">
        <v>66</v>
      </c>
      <c r="H355" s="26" t="s">
        <v>240</v>
      </c>
      <c r="I355" s="8" t="s">
        <v>241</v>
      </c>
      <c r="J355" s="9" t="s">
        <v>427</v>
      </c>
      <c r="K355" s="15"/>
      <c r="L355" s="16" t="s">
        <v>317</v>
      </c>
      <c r="M355" s="9" t="e">
        <f t="shared" ref="M355:M359" si="103">J355+10</f>
        <v>#VALUE!</v>
      </c>
      <c r="N355" s="8"/>
      <c r="O355" s="8" t="s">
        <v>47</v>
      </c>
      <c r="P355" s="9" t="e">
        <f t="shared" ref="P355:P359" si="104">J355+6</f>
        <v>#VALUE!</v>
      </c>
      <c r="Q355" s="9"/>
      <c r="R355" s="9" t="e">
        <f t="shared" ref="R355:R359" si="105">J355+9</f>
        <v>#VALUE!</v>
      </c>
      <c r="S355" s="9"/>
      <c r="T355" s="9" t="e">
        <f t="shared" ref="T355:T359" si="106">J355+12</f>
        <v>#VALUE!</v>
      </c>
      <c r="U355" s="9"/>
      <c r="V355" s="8"/>
      <c r="W355" s="17">
        <v>45073</v>
      </c>
      <c r="X355" s="17"/>
      <c r="Y355" s="8"/>
      <c r="Z355" s="17">
        <v>45077</v>
      </c>
      <c r="AA355" s="9"/>
      <c r="AB355" s="8"/>
      <c r="AC355" s="8"/>
      <c r="AD355" s="8"/>
      <c r="AE355" s="8"/>
      <c r="AF355" s="8"/>
    </row>
    <row r="356" spans="1:32" ht="15" hidden="1">
      <c r="A356" s="8">
        <v>352</v>
      </c>
      <c r="B356" s="55"/>
      <c r="C356" s="24" t="s">
        <v>428</v>
      </c>
      <c r="D356" s="8"/>
      <c r="E356" s="8"/>
      <c r="F356" s="9"/>
      <c r="G356" s="9"/>
      <c r="H356" s="26"/>
      <c r="I356" s="8"/>
      <c r="J356" s="9"/>
      <c r="K356" s="15"/>
      <c r="L356" s="16"/>
      <c r="M356" s="9"/>
      <c r="N356" s="8"/>
      <c r="O356" s="8"/>
      <c r="P356" s="9"/>
      <c r="Q356" s="9"/>
      <c r="R356" s="9"/>
      <c r="S356" s="9"/>
      <c r="T356" s="9"/>
      <c r="U356" s="9"/>
      <c r="V356" s="8"/>
      <c r="W356" s="17"/>
      <c r="X356" s="17"/>
      <c r="Y356" s="8"/>
      <c r="Z356" s="17"/>
      <c r="AA356" s="9"/>
      <c r="AB356" s="8"/>
      <c r="AC356" s="8"/>
      <c r="AD356" s="8"/>
      <c r="AE356" s="8"/>
      <c r="AF356" s="8"/>
    </row>
    <row r="357" spans="1:32" ht="30">
      <c r="A357" s="8">
        <v>353</v>
      </c>
      <c r="B357" s="55"/>
      <c r="C357" s="59" t="s">
        <v>425</v>
      </c>
      <c r="D357" s="59" t="s">
        <v>426</v>
      </c>
      <c r="E357" s="59" t="s">
        <v>42</v>
      </c>
      <c r="F357" s="60" t="s">
        <v>66</v>
      </c>
      <c r="G357" s="60" t="s">
        <v>66</v>
      </c>
      <c r="H357" s="61" t="s">
        <v>240</v>
      </c>
      <c r="I357" s="59" t="s">
        <v>241</v>
      </c>
      <c r="J357" s="60">
        <v>45031</v>
      </c>
      <c r="K357" s="15" t="s">
        <v>725</v>
      </c>
      <c r="L357" s="16" t="s">
        <v>317</v>
      </c>
      <c r="M357" s="9">
        <f t="shared" si="103"/>
        <v>45041</v>
      </c>
      <c r="N357" s="8"/>
      <c r="O357" s="8" t="s">
        <v>47</v>
      </c>
      <c r="P357" s="9">
        <f t="shared" si="104"/>
        <v>45037</v>
      </c>
      <c r="Q357" s="8"/>
      <c r="R357" s="9">
        <f t="shared" si="105"/>
        <v>45040</v>
      </c>
      <c r="S357" s="8"/>
      <c r="T357" s="9">
        <f t="shared" si="106"/>
        <v>45043</v>
      </c>
      <c r="U357" s="8"/>
      <c r="V357" s="8"/>
      <c r="W357" s="17">
        <v>45073</v>
      </c>
      <c r="X357" s="17"/>
      <c r="Y357" s="8"/>
      <c r="Z357" s="17">
        <v>45077</v>
      </c>
      <c r="AA357" s="9"/>
      <c r="AB357" s="8"/>
      <c r="AC357" s="8"/>
      <c r="AD357" s="8"/>
      <c r="AE357" s="8"/>
      <c r="AF357" s="8"/>
    </row>
    <row r="358" spans="1:32" ht="30">
      <c r="A358" s="8">
        <v>354</v>
      </c>
      <c r="B358" s="55"/>
      <c r="C358" s="59" t="s">
        <v>429</v>
      </c>
      <c r="D358" s="59" t="s">
        <v>426</v>
      </c>
      <c r="E358" s="59" t="s">
        <v>42</v>
      </c>
      <c r="F358" s="60" t="s">
        <v>66</v>
      </c>
      <c r="G358" s="60" t="s">
        <v>66</v>
      </c>
      <c r="H358" s="61" t="s">
        <v>240</v>
      </c>
      <c r="I358" s="59" t="s">
        <v>241</v>
      </c>
      <c r="J358" s="60">
        <v>45031</v>
      </c>
      <c r="K358" s="58" t="s">
        <v>729</v>
      </c>
      <c r="L358" s="16" t="s">
        <v>317</v>
      </c>
      <c r="M358" s="9">
        <f t="shared" si="103"/>
        <v>45041</v>
      </c>
      <c r="N358" s="8"/>
      <c r="O358" s="8" t="s">
        <v>47</v>
      </c>
      <c r="P358" s="9">
        <f t="shared" si="104"/>
        <v>45037</v>
      </c>
      <c r="Q358" s="8"/>
      <c r="R358" s="9">
        <f t="shared" si="105"/>
        <v>45040</v>
      </c>
      <c r="S358" s="8"/>
      <c r="T358" s="9">
        <f t="shared" si="106"/>
        <v>45043</v>
      </c>
      <c r="U358" s="8"/>
      <c r="V358" s="8"/>
      <c r="W358" s="17">
        <v>45073</v>
      </c>
      <c r="X358" s="17"/>
      <c r="Y358" s="8"/>
      <c r="Z358" s="17">
        <v>45077</v>
      </c>
      <c r="AA358" s="9"/>
      <c r="AB358" s="8"/>
      <c r="AC358" s="8"/>
      <c r="AD358" s="8"/>
      <c r="AE358" s="8"/>
      <c r="AF358" s="8"/>
    </row>
    <row r="359" spans="1:32" ht="30">
      <c r="A359" s="8">
        <v>355</v>
      </c>
      <c r="B359" s="55"/>
      <c r="C359" s="59" t="s">
        <v>430</v>
      </c>
      <c r="D359" s="59" t="s">
        <v>426</v>
      </c>
      <c r="E359" s="59" t="s">
        <v>42</v>
      </c>
      <c r="F359" s="60" t="s">
        <v>66</v>
      </c>
      <c r="G359" s="60" t="s">
        <v>66</v>
      </c>
      <c r="H359" s="61" t="s">
        <v>240</v>
      </c>
      <c r="I359" s="59" t="s">
        <v>241</v>
      </c>
      <c r="J359" s="60">
        <v>45031</v>
      </c>
      <c r="K359" s="58"/>
      <c r="L359" s="16" t="s">
        <v>317</v>
      </c>
      <c r="M359" s="9">
        <f t="shared" si="103"/>
        <v>45041</v>
      </c>
      <c r="N359" s="8"/>
      <c r="O359" s="8" t="s">
        <v>47</v>
      </c>
      <c r="P359" s="9">
        <f t="shared" si="104"/>
        <v>45037</v>
      </c>
      <c r="Q359" s="8"/>
      <c r="R359" s="9">
        <f t="shared" si="105"/>
        <v>45040</v>
      </c>
      <c r="S359" s="8"/>
      <c r="T359" s="9">
        <f t="shared" si="106"/>
        <v>45043</v>
      </c>
      <c r="U359" s="8"/>
      <c r="V359" s="8"/>
      <c r="W359" s="17">
        <v>45073</v>
      </c>
      <c r="X359" s="17"/>
      <c r="Y359" s="8"/>
      <c r="Z359" s="17">
        <v>45077</v>
      </c>
      <c r="AA359" s="9"/>
      <c r="AB359" s="8"/>
      <c r="AC359" s="8"/>
      <c r="AD359" s="8"/>
      <c r="AE359" s="8"/>
      <c r="AF359" s="8"/>
    </row>
    <row r="360" spans="1:32" ht="15" hidden="1">
      <c r="A360" s="8">
        <v>356</v>
      </c>
      <c r="B360" s="55"/>
      <c r="C360" s="24" t="s">
        <v>431</v>
      </c>
      <c r="D360" s="8"/>
      <c r="E360" s="8"/>
      <c r="F360" s="9"/>
      <c r="G360" s="9"/>
      <c r="H360" s="26"/>
      <c r="I360" s="8"/>
      <c r="J360" s="9"/>
      <c r="K360" s="58"/>
      <c r="L360" s="16"/>
      <c r="M360" s="9"/>
      <c r="N360" s="8"/>
      <c r="O360" s="8"/>
      <c r="P360" s="9"/>
      <c r="Q360" s="8"/>
      <c r="R360" s="9"/>
      <c r="S360" s="8"/>
      <c r="T360" s="9"/>
      <c r="U360" s="8"/>
      <c r="V360" s="8"/>
      <c r="W360" s="17"/>
      <c r="X360" s="17"/>
      <c r="Y360" s="8"/>
      <c r="Z360" s="17"/>
      <c r="AA360" s="9"/>
      <c r="AB360" s="8"/>
      <c r="AC360" s="8"/>
      <c r="AD360" s="8"/>
      <c r="AE360" s="8"/>
      <c r="AF360" s="8"/>
    </row>
    <row r="361" spans="1:32" ht="30">
      <c r="A361" s="8">
        <v>357</v>
      </c>
      <c r="B361" s="55"/>
      <c r="C361" s="59" t="s">
        <v>432</v>
      </c>
      <c r="D361" s="59" t="s">
        <v>426</v>
      </c>
      <c r="E361" s="59" t="s">
        <v>42</v>
      </c>
      <c r="F361" s="60" t="s">
        <v>66</v>
      </c>
      <c r="G361" s="60" t="s">
        <v>66</v>
      </c>
      <c r="H361" s="61" t="s">
        <v>240</v>
      </c>
      <c r="I361" s="59" t="s">
        <v>241</v>
      </c>
      <c r="J361" s="60">
        <v>45031</v>
      </c>
      <c r="K361" s="58"/>
      <c r="L361" s="16" t="s">
        <v>317</v>
      </c>
      <c r="M361" s="9">
        <f t="shared" ref="M361:M366" si="107">J361+10</f>
        <v>45041</v>
      </c>
      <c r="N361" s="8"/>
      <c r="O361" s="8" t="s">
        <v>47</v>
      </c>
      <c r="P361" s="9">
        <f t="shared" ref="P361:P366" si="108">J361+6</f>
        <v>45037</v>
      </c>
      <c r="Q361" s="8"/>
      <c r="R361" s="9">
        <f t="shared" ref="R361:R366" si="109">J361+9</f>
        <v>45040</v>
      </c>
      <c r="S361" s="8"/>
      <c r="T361" s="9">
        <f t="shared" ref="T361:T366" si="110">J361+12</f>
        <v>45043</v>
      </c>
      <c r="U361" s="8"/>
      <c r="V361" s="8"/>
      <c r="W361" s="17">
        <v>45073</v>
      </c>
      <c r="X361" s="17"/>
      <c r="Y361" s="8"/>
      <c r="Z361" s="17">
        <v>45077</v>
      </c>
      <c r="AA361" s="9"/>
      <c r="AB361" s="8"/>
      <c r="AC361" s="8"/>
      <c r="AD361" s="8"/>
      <c r="AE361" s="8"/>
      <c r="AF361" s="8"/>
    </row>
    <row r="362" spans="1:32" ht="30">
      <c r="A362" s="8">
        <v>358</v>
      </c>
      <c r="B362" s="55"/>
      <c r="C362" s="8" t="s">
        <v>433</v>
      </c>
      <c r="D362" s="8" t="s">
        <v>426</v>
      </c>
      <c r="E362" s="8" t="s">
        <v>42</v>
      </c>
      <c r="F362" s="9" t="s">
        <v>66</v>
      </c>
      <c r="G362" s="9" t="s">
        <v>66</v>
      </c>
      <c r="H362" s="26" t="s">
        <v>240</v>
      </c>
      <c r="I362" s="8" t="s">
        <v>241</v>
      </c>
      <c r="J362" s="9">
        <v>45021</v>
      </c>
      <c r="K362" s="58" t="s">
        <v>264</v>
      </c>
      <c r="L362" s="16" t="s">
        <v>317</v>
      </c>
      <c r="M362" s="9">
        <f t="shared" si="107"/>
        <v>45031</v>
      </c>
      <c r="N362" s="8"/>
      <c r="O362" s="8" t="s">
        <v>47</v>
      </c>
      <c r="P362" s="9">
        <f t="shared" si="108"/>
        <v>45027</v>
      </c>
      <c r="Q362" s="8"/>
      <c r="R362" s="9">
        <f t="shared" si="109"/>
        <v>45030</v>
      </c>
      <c r="S362" s="8"/>
      <c r="T362" s="9">
        <f t="shared" si="110"/>
        <v>45033</v>
      </c>
      <c r="U362" s="8"/>
      <c r="V362" s="8"/>
      <c r="W362" s="17">
        <v>45073</v>
      </c>
      <c r="X362" s="17"/>
      <c r="Y362" s="8"/>
      <c r="Z362" s="17">
        <v>45077</v>
      </c>
      <c r="AA362" s="9"/>
      <c r="AB362" s="8"/>
      <c r="AC362" s="8"/>
      <c r="AD362" s="8"/>
      <c r="AE362" s="8"/>
      <c r="AF362" s="8"/>
    </row>
    <row r="363" spans="1:32" ht="15" hidden="1">
      <c r="A363" s="8">
        <v>359</v>
      </c>
      <c r="B363" s="55"/>
      <c r="C363" s="24" t="s">
        <v>434</v>
      </c>
      <c r="D363" s="8"/>
      <c r="E363" s="8"/>
      <c r="F363" s="9"/>
      <c r="G363" s="9"/>
      <c r="H363" s="26"/>
      <c r="I363" s="8"/>
      <c r="J363" s="9"/>
      <c r="K363" s="58"/>
      <c r="L363" s="16"/>
      <c r="M363" s="9"/>
      <c r="N363" s="8"/>
      <c r="O363" s="8"/>
      <c r="P363" s="9"/>
      <c r="Q363" s="8"/>
      <c r="R363" s="9"/>
      <c r="S363" s="8"/>
      <c r="T363" s="9"/>
      <c r="U363" s="8"/>
      <c r="V363" s="8"/>
      <c r="W363" s="17"/>
      <c r="X363" s="17"/>
      <c r="Y363" s="8"/>
      <c r="Z363" s="17"/>
      <c r="AA363" s="9"/>
      <c r="AB363" s="8"/>
      <c r="AC363" s="8"/>
      <c r="AD363" s="8"/>
      <c r="AE363" s="8"/>
      <c r="AF363" s="8"/>
    </row>
    <row r="364" spans="1:32" ht="30">
      <c r="A364" s="8">
        <v>360</v>
      </c>
      <c r="B364" s="55"/>
      <c r="C364" s="8" t="s">
        <v>435</v>
      </c>
      <c r="D364" s="8" t="s">
        <v>426</v>
      </c>
      <c r="E364" s="8" t="s">
        <v>42</v>
      </c>
      <c r="F364" s="9" t="s">
        <v>66</v>
      </c>
      <c r="G364" s="9" t="s">
        <v>66</v>
      </c>
      <c r="H364" s="26" t="s">
        <v>240</v>
      </c>
      <c r="I364" s="8" t="s">
        <v>241</v>
      </c>
      <c r="J364" s="9">
        <v>45021</v>
      </c>
      <c r="K364" s="58"/>
      <c r="L364" s="16" t="s">
        <v>317</v>
      </c>
      <c r="M364" s="9">
        <f t="shared" si="107"/>
        <v>45031</v>
      </c>
      <c r="N364" s="8"/>
      <c r="O364" s="8" t="s">
        <v>47</v>
      </c>
      <c r="P364" s="9">
        <f t="shared" si="108"/>
        <v>45027</v>
      </c>
      <c r="Q364" s="8"/>
      <c r="R364" s="9">
        <f t="shared" si="109"/>
        <v>45030</v>
      </c>
      <c r="S364" s="8"/>
      <c r="T364" s="9">
        <f t="shared" si="110"/>
        <v>45033</v>
      </c>
      <c r="U364" s="8"/>
      <c r="V364" s="8"/>
      <c r="W364" s="17">
        <v>45073</v>
      </c>
      <c r="X364" s="17"/>
      <c r="Y364" s="8"/>
      <c r="Z364" s="17">
        <v>45077</v>
      </c>
      <c r="AA364" s="9"/>
      <c r="AB364" s="8"/>
      <c r="AC364" s="8"/>
      <c r="AD364" s="8"/>
      <c r="AE364" s="8"/>
      <c r="AF364" s="8"/>
    </row>
    <row r="365" spans="1:32" ht="30">
      <c r="A365" s="8">
        <v>361</v>
      </c>
      <c r="B365" s="55"/>
      <c r="C365" s="59" t="s">
        <v>436</v>
      </c>
      <c r="D365" s="59" t="s">
        <v>426</v>
      </c>
      <c r="E365" s="59" t="s">
        <v>42</v>
      </c>
      <c r="F365" s="60" t="s">
        <v>66</v>
      </c>
      <c r="G365" s="60" t="s">
        <v>66</v>
      </c>
      <c r="H365" s="61" t="s">
        <v>240</v>
      </c>
      <c r="I365" s="59" t="s">
        <v>241</v>
      </c>
      <c r="J365" s="60">
        <v>45031</v>
      </c>
      <c r="K365" s="58" t="s">
        <v>729</v>
      </c>
      <c r="L365" s="16" t="s">
        <v>317</v>
      </c>
      <c r="M365" s="9">
        <f t="shared" si="107"/>
        <v>45041</v>
      </c>
      <c r="N365" s="8"/>
      <c r="O365" s="8" t="s">
        <v>47</v>
      </c>
      <c r="P365" s="9">
        <f t="shared" si="108"/>
        <v>45037</v>
      </c>
      <c r="Q365" s="8"/>
      <c r="R365" s="9">
        <f t="shared" si="109"/>
        <v>45040</v>
      </c>
      <c r="S365" s="8"/>
      <c r="T365" s="9">
        <f t="shared" si="110"/>
        <v>45043</v>
      </c>
      <c r="U365" s="8"/>
      <c r="V365" s="8"/>
      <c r="W365" s="17">
        <v>45073</v>
      </c>
      <c r="X365" s="17"/>
      <c r="Y365" s="8"/>
      <c r="Z365" s="17">
        <v>45077</v>
      </c>
      <c r="AA365" s="9"/>
      <c r="AB365" s="8"/>
      <c r="AC365" s="8"/>
      <c r="AD365" s="8"/>
      <c r="AE365" s="8"/>
      <c r="AF365" s="8"/>
    </row>
    <row r="366" spans="1:32" ht="30">
      <c r="A366" s="8">
        <v>362</v>
      </c>
      <c r="B366" s="55"/>
      <c r="C366" s="59" t="s">
        <v>437</v>
      </c>
      <c r="D366" s="59" t="s">
        <v>426</v>
      </c>
      <c r="E366" s="59" t="s">
        <v>42</v>
      </c>
      <c r="F366" s="60" t="s">
        <v>66</v>
      </c>
      <c r="G366" s="60" t="s">
        <v>66</v>
      </c>
      <c r="H366" s="61" t="s">
        <v>240</v>
      </c>
      <c r="I366" s="59" t="s">
        <v>241</v>
      </c>
      <c r="J366" s="60">
        <v>45031</v>
      </c>
      <c r="K366" s="58"/>
      <c r="L366" s="16" t="s">
        <v>317</v>
      </c>
      <c r="M366" s="9">
        <f t="shared" si="107"/>
        <v>45041</v>
      </c>
      <c r="N366" s="8"/>
      <c r="O366" s="8" t="s">
        <v>47</v>
      </c>
      <c r="P366" s="9">
        <f t="shared" si="108"/>
        <v>45037</v>
      </c>
      <c r="Q366" s="8"/>
      <c r="R366" s="9">
        <f t="shared" si="109"/>
        <v>45040</v>
      </c>
      <c r="S366" s="8"/>
      <c r="T366" s="9">
        <f t="shared" si="110"/>
        <v>45043</v>
      </c>
      <c r="U366" s="8"/>
      <c r="V366" s="8"/>
      <c r="W366" s="17">
        <v>45073</v>
      </c>
      <c r="X366" s="17"/>
      <c r="Y366" s="8"/>
      <c r="Z366" s="17">
        <v>45077</v>
      </c>
      <c r="AA366" s="9"/>
      <c r="AB366" s="8"/>
      <c r="AC366" s="8"/>
      <c r="AD366" s="8"/>
      <c r="AE366" s="8"/>
      <c r="AF366" s="8"/>
    </row>
    <row r="367" spans="1:32" ht="15" hidden="1">
      <c r="A367" s="8">
        <v>363</v>
      </c>
      <c r="B367" s="55"/>
      <c r="C367" s="24" t="s">
        <v>438</v>
      </c>
      <c r="D367" s="8"/>
      <c r="E367" s="8"/>
      <c r="F367" s="9"/>
      <c r="G367" s="9"/>
      <c r="H367" s="26"/>
      <c r="I367" s="8"/>
      <c r="J367" s="9"/>
      <c r="K367" s="58"/>
      <c r="L367" s="16"/>
      <c r="M367" s="9"/>
      <c r="N367" s="8"/>
      <c r="O367" s="8"/>
      <c r="P367" s="9"/>
      <c r="Q367" s="8"/>
      <c r="R367" s="9"/>
      <c r="S367" s="8"/>
      <c r="T367" s="9"/>
      <c r="U367" s="8"/>
      <c r="V367" s="8"/>
      <c r="W367" s="17"/>
      <c r="X367" s="17"/>
      <c r="Y367" s="8"/>
      <c r="Z367" s="17"/>
      <c r="AA367" s="9"/>
      <c r="AB367" s="8"/>
      <c r="AC367" s="8"/>
      <c r="AD367" s="8"/>
      <c r="AE367" s="8"/>
      <c r="AF367" s="8"/>
    </row>
    <row r="368" spans="1:32" ht="30">
      <c r="A368" s="8">
        <v>364</v>
      </c>
      <c r="B368" s="55"/>
      <c r="C368" s="59" t="s">
        <v>439</v>
      </c>
      <c r="D368" s="59" t="s">
        <v>426</v>
      </c>
      <c r="E368" s="59" t="s">
        <v>42</v>
      </c>
      <c r="F368" s="60" t="s">
        <v>66</v>
      </c>
      <c r="G368" s="60" t="s">
        <v>66</v>
      </c>
      <c r="H368" s="61" t="s">
        <v>240</v>
      </c>
      <c r="I368" s="59" t="s">
        <v>241</v>
      </c>
      <c r="J368" s="60">
        <v>45031</v>
      </c>
      <c r="K368" s="58"/>
      <c r="L368" s="16" t="s">
        <v>317</v>
      </c>
      <c r="M368" s="9">
        <f t="shared" ref="M368:M374" si="111">J368+10</f>
        <v>45041</v>
      </c>
      <c r="N368" s="8"/>
      <c r="O368" s="8" t="s">
        <v>47</v>
      </c>
      <c r="P368" s="9">
        <f t="shared" ref="P368:P374" si="112">J368+6</f>
        <v>45037</v>
      </c>
      <c r="Q368" s="8"/>
      <c r="R368" s="9">
        <f t="shared" ref="R368:R374" si="113">J368+9</f>
        <v>45040</v>
      </c>
      <c r="S368" s="8"/>
      <c r="T368" s="9">
        <f t="shared" ref="T368:T374" si="114">J368+12</f>
        <v>45043</v>
      </c>
      <c r="U368" s="8"/>
      <c r="V368" s="8"/>
      <c r="W368" s="17">
        <v>45073</v>
      </c>
      <c r="X368" s="17"/>
      <c r="Y368" s="8"/>
      <c r="Z368" s="17">
        <v>45077</v>
      </c>
      <c r="AA368" s="9"/>
      <c r="AB368" s="8"/>
      <c r="AC368" s="8"/>
      <c r="AD368" s="8"/>
      <c r="AE368" s="8"/>
      <c r="AF368" s="8"/>
    </row>
    <row r="369" spans="1:32" ht="15" hidden="1">
      <c r="A369" s="8">
        <v>365</v>
      </c>
      <c r="B369" s="55"/>
      <c r="C369" s="24" t="s">
        <v>440</v>
      </c>
      <c r="D369" s="8"/>
      <c r="E369" s="8"/>
      <c r="F369" s="9"/>
      <c r="G369" s="9"/>
      <c r="H369" s="26"/>
      <c r="I369" s="8"/>
      <c r="J369" s="9"/>
      <c r="K369" s="15"/>
      <c r="L369" s="16"/>
      <c r="M369" s="9"/>
      <c r="N369" s="8"/>
      <c r="O369" s="8"/>
      <c r="P369" s="9"/>
      <c r="Q369" s="8"/>
      <c r="R369" s="9"/>
      <c r="S369" s="8"/>
      <c r="T369" s="9"/>
      <c r="U369" s="8"/>
      <c r="V369" s="8"/>
      <c r="W369" s="17"/>
      <c r="X369" s="17"/>
      <c r="Y369" s="8"/>
      <c r="Z369" s="17"/>
      <c r="AA369" s="9"/>
      <c r="AB369" s="8"/>
      <c r="AC369" s="8"/>
      <c r="AD369" s="8"/>
      <c r="AE369" s="8"/>
      <c r="AF369" s="8"/>
    </row>
    <row r="370" spans="1:32" ht="30">
      <c r="A370" s="8">
        <v>366</v>
      </c>
      <c r="B370" s="55"/>
      <c r="C370" s="8" t="s">
        <v>441</v>
      </c>
      <c r="D370" s="8" t="s">
        <v>426</v>
      </c>
      <c r="E370" s="8" t="s">
        <v>42</v>
      </c>
      <c r="F370" s="9" t="s">
        <v>66</v>
      </c>
      <c r="G370" s="9" t="s">
        <v>66</v>
      </c>
      <c r="H370" s="26" t="s">
        <v>240</v>
      </c>
      <c r="I370" s="8" t="s">
        <v>241</v>
      </c>
      <c r="J370" s="9">
        <v>45021</v>
      </c>
      <c r="K370" s="15" t="s">
        <v>264</v>
      </c>
      <c r="L370" s="16" t="s">
        <v>317</v>
      </c>
      <c r="M370" s="9">
        <f t="shared" si="111"/>
        <v>45031</v>
      </c>
      <c r="N370" s="8"/>
      <c r="O370" s="8" t="s">
        <v>47</v>
      </c>
      <c r="P370" s="9">
        <f t="shared" si="112"/>
        <v>45027</v>
      </c>
      <c r="Q370" s="8"/>
      <c r="R370" s="9">
        <f t="shared" si="113"/>
        <v>45030</v>
      </c>
      <c r="S370" s="8"/>
      <c r="T370" s="9">
        <f t="shared" si="114"/>
        <v>45033</v>
      </c>
      <c r="U370" s="8"/>
      <c r="V370" s="8"/>
      <c r="W370" s="17">
        <v>45073</v>
      </c>
      <c r="X370" s="17"/>
      <c r="Y370" s="8"/>
      <c r="Z370" s="17">
        <v>45077</v>
      </c>
      <c r="AA370" s="9"/>
      <c r="AB370" s="8"/>
      <c r="AC370" s="8"/>
      <c r="AD370" s="8"/>
      <c r="AE370" s="8"/>
      <c r="AF370" s="8"/>
    </row>
    <row r="371" spans="1:32" ht="15" hidden="1">
      <c r="A371" s="8">
        <v>367</v>
      </c>
      <c r="B371" s="55"/>
      <c r="C371" s="24" t="s">
        <v>442</v>
      </c>
      <c r="D371" s="8"/>
      <c r="E371" s="8"/>
      <c r="F371" s="9"/>
      <c r="G371" s="9"/>
      <c r="H371" s="26"/>
      <c r="I371" s="8"/>
      <c r="J371" s="9"/>
      <c r="K371" s="15"/>
      <c r="L371" s="16"/>
      <c r="M371" s="9"/>
      <c r="N371" s="8"/>
      <c r="O371" s="8"/>
      <c r="P371" s="9"/>
      <c r="Q371" s="8"/>
      <c r="R371" s="9"/>
      <c r="S371" s="8"/>
      <c r="T371" s="9"/>
      <c r="U371" s="8"/>
      <c r="V371" s="8"/>
      <c r="W371" s="17"/>
      <c r="X371" s="17"/>
      <c r="Y371" s="8"/>
      <c r="Z371" s="17"/>
      <c r="AA371" s="9"/>
      <c r="AB371" s="8"/>
      <c r="AC371" s="8"/>
      <c r="AD371" s="8"/>
      <c r="AE371" s="8"/>
      <c r="AF371" s="8"/>
    </row>
    <row r="372" spans="1:32" ht="30">
      <c r="A372" s="8">
        <v>368</v>
      </c>
      <c r="B372" s="55"/>
      <c r="C372" s="4" t="s">
        <v>443</v>
      </c>
      <c r="D372" s="8" t="s">
        <v>426</v>
      </c>
      <c r="E372" s="8" t="s">
        <v>42</v>
      </c>
      <c r="F372" s="9" t="s">
        <v>66</v>
      </c>
      <c r="G372" s="9" t="s">
        <v>66</v>
      </c>
      <c r="H372" s="26" t="s">
        <v>240</v>
      </c>
      <c r="I372" s="8" t="s">
        <v>241</v>
      </c>
      <c r="J372" s="9">
        <v>45021</v>
      </c>
      <c r="K372" s="58" t="s">
        <v>444</v>
      </c>
      <c r="L372" s="16" t="s">
        <v>317</v>
      </c>
      <c r="M372" s="9">
        <f t="shared" si="111"/>
        <v>45031</v>
      </c>
      <c r="N372" s="8"/>
      <c r="O372" s="8" t="s">
        <v>47</v>
      </c>
      <c r="P372" s="9">
        <f t="shared" si="112"/>
        <v>45027</v>
      </c>
      <c r="Q372" s="8"/>
      <c r="R372" s="9">
        <f t="shared" si="113"/>
        <v>45030</v>
      </c>
      <c r="S372" s="8"/>
      <c r="T372" s="9">
        <f t="shared" si="114"/>
        <v>45033</v>
      </c>
      <c r="U372" s="8"/>
      <c r="V372" s="8"/>
      <c r="W372" s="17">
        <v>45073</v>
      </c>
      <c r="X372" s="17"/>
      <c r="Y372" s="8"/>
      <c r="Z372" s="17">
        <v>45077</v>
      </c>
      <c r="AA372" s="9"/>
      <c r="AB372" s="8"/>
      <c r="AC372" s="8"/>
      <c r="AD372" s="8"/>
      <c r="AE372" s="8"/>
      <c r="AF372" s="8"/>
    </row>
    <row r="373" spans="1:32" ht="30">
      <c r="A373" s="8">
        <v>369</v>
      </c>
      <c r="B373" s="55"/>
      <c r="C373" s="8" t="s">
        <v>445</v>
      </c>
      <c r="D373" s="8" t="s">
        <v>426</v>
      </c>
      <c r="E373" s="8" t="s">
        <v>42</v>
      </c>
      <c r="F373" s="9" t="s">
        <v>66</v>
      </c>
      <c r="G373" s="9" t="s">
        <v>66</v>
      </c>
      <c r="H373" s="26" t="s">
        <v>240</v>
      </c>
      <c r="I373" s="8" t="s">
        <v>241</v>
      </c>
      <c r="J373" s="9">
        <v>45021</v>
      </c>
      <c r="K373" s="58"/>
      <c r="L373" s="16" t="s">
        <v>317</v>
      </c>
      <c r="M373" s="9">
        <f t="shared" si="111"/>
        <v>45031</v>
      </c>
      <c r="N373" s="8"/>
      <c r="O373" s="8" t="s">
        <v>47</v>
      </c>
      <c r="P373" s="9">
        <f t="shared" si="112"/>
        <v>45027</v>
      </c>
      <c r="Q373" s="8"/>
      <c r="R373" s="9">
        <f t="shared" si="113"/>
        <v>45030</v>
      </c>
      <c r="S373" s="8"/>
      <c r="T373" s="9">
        <f t="shared" si="114"/>
        <v>45033</v>
      </c>
      <c r="U373" s="8"/>
      <c r="V373" s="8"/>
      <c r="W373" s="17">
        <v>45073</v>
      </c>
      <c r="X373" s="17"/>
      <c r="Y373" s="8"/>
      <c r="Z373" s="17">
        <v>45077</v>
      </c>
      <c r="AA373" s="9"/>
      <c r="AB373" s="8"/>
      <c r="AC373" s="8"/>
      <c r="AD373" s="8"/>
      <c r="AE373" s="8"/>
      <c r="AF373" s="8"/>
    </row>
    <row r="374" spans="1:32" ht="30">
      <c r="A374" s="8">
        <v>370</v>
      </c>
      <c r="B374" s="55"/>
      <c r="C374" s="4" t="s">
        <v>446</v>
      </c>
      <c r="D374" s="8" t="s">
        <v>426</v>
      </c>
      <c r="E374" s="8" t="s">
        <v>42</v>
      </c>
      <c r="F374" s="9" t="s">
        <v>66</v>
      </c>
      <c r="G374" s="9" t="s">
        <v>66</v>
      </c>
      <c r="H374" s="26" t="s">
        <v>240</v>
      </c>
      <c r="I374" s="8" t="s">
        <v>241</v>
      </c>
      <c r="J374" s="9">
        <v>45021</v>
      </c>
      <c r="K374" s="58"/>
      <c r="L374" s="16" t="s">
        <v>317</v>
      </c>
      <c r="M374" s="9">
        <f t="shared" si="111"/>
        <v>45031</v>
      </c>
      <c r="N374" s="8"/>
      <c r="O374" s="8" t="s">
        <v>47</v>
      </c>
      <c r="P374" s="9">
        <f t="shared" si="112"/>
        <v>45027</v>
      </c>
      <c r="Q374" s="8"/>
      <c r="R374" s="9">
        <f t="shared" si="113"/>
        <v>45030</v>
      </c>
      <c r="S374" s="8"/>
      <c r="T374" s="9">
        <f t="shared" si="114"/>
        <v>45033</v>
      </c>
      <c r="U374" s="8"/>
      <c r="V374" s="8"/>
      <c r="W374" s="17">
        <v>45073</v>
      </c>
      <c r="X374" s="17"/>
      <c r="Y374" s="8"/>
      <c r="Z374" s="17">
        <v>45077</v>
      </c>
      <c r="AA374" s="9"/>
      <c r="AB374" s="8"/>
      <c r="AC374" s="8"/>
      <c r="AD374" s="8"/>
      <c r="AE374" s="8"/>
      <c r="AF374" s="8"/>
    </row>
    <row r="375" spans="1:32" ht="14" hidden="1">
      <c r="A375" s="8">
        <v>371</v>
      </c>
      <c r="B375" s="55"/>
      <c r="C375" s="30" t="s">
        <v>447</v>
      </c>
      <c r="D375" s="8"/>
      <c r="E375" s="8"/>
      <c r="F375" s="9"/>
      <c r="G375" s="9"/>
      <c r="H375" s="26"/>
      <c r="I375" s="8"/>
      <c r="J375" s="9"/>
      <c r="K375" s="15"/>
      <c r="L375" s="16"/>
      <c r="M375" s="9"/>
      <c r="N375" s="8"/>
      <c r="O375" s="8"/>
      <c r="P375" s="9"/>
      <c r="Q375" s="8"/>
      <c r="R375" s="9"/>
      <c r="S375" s="8"/>
      <c r="T375" s="9"/>
      <c r="U375" s="8"/>
      <c r="V375" s="8"/>
      <c r="W375" s="17"/>
      <c r="X375" s="17"/>
      <c r="Y375" s="8"/>
      <c r="Z375" s="17"/>
      <c r="AA375" s="9"/>
      <c r="AB375" s="8"/>
      <c r="AC375" s="8"/>
      <c r="AD375" s="8"/>
      <c r="AE375" s="8"/>
      <c r="AF375" s="8"/>
    </row>
    <row r="376" spans="1:32" ht="30">
      <c r="A376" s="8">
        <v>372</v>
      </c>
      <c r="B376" s="55"/>
      <c r="C376" s="4" t="s">
        <v>448</v>
      </c>
      <c r="D376" s="8" t="s">
        <v>426</v>
      </c>
      <c r="E376" s="8" t="s">
        <v>42</v>
      </c>
      <c r="F376" s="9" t="s">
        <v>66</v>
      </c>
      <c r="G376" s="9" t="s">
        <v>66</v>
      </c>
      <c r="H376" s="26" t="s">
        <v>240</v>
      </c>
      <c r="I376" s="8" t="s">
        <v>241</v>
      </c>
      <c r="J376" s="9">
        <v>45021</v>
      </c>
      <c r="K376" s="15" t="s">
        <v>264</v>
      </c>
      <c r="L376" s="16" t="s">
        <v>317</v>
      </c>
      <c r="M376" s="9">
        <f t="shared" ref="M376:M384" si="115">J376+10</f>
        <v>45031</v>
      </c>
      <c r="N376" s="8"/>
      <c r="O376" s="8" t="s">
        <v>47</v>
      </c>
      <c r="P376" s="9">
        <f t="shared" ref="P376:P384" si="116">J376+6</f>
        <v>45027</v>
      </c>
      <c r="Q376" s="8"/>
      <c r="R376" s="9">
        <f t="shared" ref="R376:R384" si="117">J376+9</f>
        <v>45030</v>
      </c>
      <c r="S376" s="8"/>
      <c r="T376" s="9">
        <f t="shared" ref="T376:T384" si="118">J376+12</f>
        <v>45033</v>
      </c>
      <c r="U376" s="8"/>
      <c r="V376" s="8"/>
      <c r="W376" s="17">
        <v>45073</v>
      </c>
      <c r="X376" s="17"/>
      <c r="Y376" s="8"/>
      <c r="Z376" s="17">
        <v>45077</v>
      </c>
      <c r="AA376" s="9"/>
      <c r="AB376" s="8"/>
      <c r="AC376" s="8"/>
      <c r="AD376" s="8"/>
      <c r="AE376" s="8"/>
      <c r="AF376" s="8"/>
    </row>
    <row r="377" spans="1:32" ht="14" hidden="1">
      <c r="A377" s="8">
        <v>373</v>
      </c>
      <c r="B377" s="55"/>
      <c r="C377" s="30" t="s">
        <v>449</v>
      </c>
      <c r="D377" s="8"/>
      <c r="E377" s="8"/>
      <c r="F377" s="9"/>
      <c r="G377" s="9"/>
      <c r="H377" s="26"/>
      <c r="I377" s="8"/>
      <c r="J377" s="9"/>
      <c r="K377" s="15"/>
      <c r="L377" s="16"/>
      <c r="M377" s="9"/>
      <c r="N377" s="8"/>
      <c r="O377" s="8"/>
      <c r="P377" s="9"/>
      <c r="Q377" s="8"/>
      <c r="R377" s="9"/>
      <c r="S377" s="8"/>
      <c r="T377" s="9"/>
      <c r="U377" s="8"/>
      <c r="V377" s="8"/>
      <c r="W377" s="17"/>
      <c r="X377" s="17"/>
      <c r="Y377" s="8"/>
      <c r="Z377" s="17"/>
      <c r="AA377" s="9"/>
      <c r="AB377" s="8"/>
      <c r="AC377" s="8"/>
      <c r="AD377" s="8"/>
      <c r="AE377" s="8"/>
      <c r="AF377" s="8"/>
    </row>
    <row r="378" spans="1:32" ht="30">
      <c r="A378" s="8">
        <v>374</v>
      </c>
      <c r="B378" s="55"/>
      <c r="C378" s="8" t="s">
        <v>450</v>
      </c>
      <c r="D378" s="8" t="s">
        <v>426</v>
      </c>
      <c r="E378" s="8" t="s">
        <v>42</v>
      </c>
      <c r="F378" s="9" t="s">
        <v>66</v>
      </c>
      <c r="G378" s="9" t="s">
        <v>66</v>
      </c>
      <c r="H378" s="26" t="s">
        <v>240</v>
      </c>
      <c r="I378" s="8" t="s">
        <v>241</v>
      </c>
      <c r="J378" s="9">
        <v>45061</v>
      </c>
      <c r="K378" s="58" t="s">
        <v>451</v>
      </c>
      <c r="L378" s="16" t="s">
        <v>317</v>
      </c>
      <c r="M378" s="9">
        <f t="shared" si="115"/>
        <v>45071</v>
      </c>
      <c r="N378" s="8"/>
      <c r="O378" s="8" t="s">
        <v>47</v>
      </c>
      <c r="P378" s="9">
        <f t="shared" si="116"/>
        <v>45067</v>
      </c>
      <c r="Q378" s="8"/>
      <c r="R378" s="9">
        <f t="shared" si="117"/>
        <v>45070</v>
      </c>
      <c r="S378" s="8"/>
      <c r="T378" s="9">
        <f t="shared" si="118"/>
        <v>45073</v>
      </c>
      <c r="U378" s="8"/>
      <c r="V378" s="8"/>
      <c r="W378" s="17">
        <v>45073</v>
      </c>
      <c r="X378" s="17"/>
      <c r="Y378" s="8"/>
      <c r="Z378" s="17">
        <v>45077</v>
      </c>
      <c r="AA378" s="9"/>
      <c r="AB378" s="8"/>
      <c r="AC378" s="8"/>
      <c r="AD378" s="8"/>
      <c r="AE378" s="8"/>
      <c r="AF378" s="8"/>
    </row>
    <row r="379" spans="1:32" ht="30">
      <c r="A379" s="8">
        <v>375</v>
      </c>
      <c r="B379" s="55"/>
      <c r="C379" s="8" t="s">
        <v>452</v>
      </c>
      <c r="D379" s="8" t="s">
        <v>426</v>
      </c>
      <c r="E379" s="8" t="s">
        <v>42</v>
      </c>
      <c r="F379" s="9" t="s">
        <v>66</v>
      </c>
      <c r="G379" s="9" t="s">
        <v>66</v>
      </c>
      <c r="H379" s="26" t="s">
        <v>240</v>
      </c>
      <c r="I379" s="8" t="s">
        <v>241</v>
      </c>
      <c r="J379" s="9">
        <v>45061</v>
      </c>
      <c r="K379" s="58"/>
      <c r="L379" s="16" t="s">
        <v>317</v>
      </c>
      <c r="M379" s="9">
        <f t="shared" si="115"/>
        <v>45071</v>
      </c>
      <c r="N379" s="8"/>
      <c r="O379" s="8" t="s">
        <v>47</v>
      </c>
      <c r="P379" s="9">
        <f t="shared" si="116"/>
        <v>45067</v>
      </c>
      <c r="Q379" s="8"/>
      <c r="R379" s="9">
        <f t="shared" si="117"/>
        <v>45070</v>
      </c>
      <c r="S379" s="8"/>
      <c r="T379" s="9">
        <f t="shared" si="118"/>
        <v>45073</v>
      </c>
      <c r="U379" s="8"/>
      <c r="V379" s="8"/>
      <c r="W379" s="17">
        <v>45073</v>
      </c>
      <c r="X379" s="17"/>
      <c r="Y379" s="8"/>
      <c r="Z379" s="17">
        <v>45077</v>
      </c>
      <c r="AA379" s="9"/>
      <c r="AB379" s="8"/>
      <c r="AC379" s="8"/>
      <c r="AD379" s="8"/>
      <c r="AE379" s="8"/>
      <c r="AF379" s="8"/>
    </row>
    <row r="380" spans="1:32" ht="30">
      <c r="A380" s="8">
        <v>376</v>
      </c>
      <c r="B380" s="55"/>
      <c r="C380" s="8" t="s">
        <v>453</v>
      </c>
      <c r="D380" s="8" t="s">
        <v>426</v>
      </c>
      <c r="E380" s="8" t="s">
        <v>42</v>
      </c>
      <c r="F380" s="9" t="s">
        <v>66</v>
      </c>
      <c r="G380" s="9" t="s">
        <v>66</v>
      </c>
      <c r="H380" s="26" t="s">
        <v>240</v>
      </c>
      <c r="I380" s="8" t="s">
        <v>241</v>
      </c>
      <c r="J380" s="9">
        <v>45061</v>
      </c>
      <c r="K380" s="58"/>
      <c r="L380" s="16" t="s">
        <v>317</v>
      </c>
      <c r="M380" s="9">
        <f t="shared" si="115"/>
        <v>45071</v>
      </c>
      <c r="N380" s="8"/>
      <c r="O380" s="8" t="s">
        <v>47</v>
      </c>
      <c r="P380" s="9">
        <f t="shared" si="116"/>
        <v>45067</v>
      </c>
      <c r="Q380" s="8"/>
      <c r="R380" s="9">
        <f t="shared" si="117"/>
        <v>45070</v>
      </c>
      <c r="S380" s="8"/>
      <c r="T380" s="9">
        <f t="shared" si="118"/>
        <v>45073</v>
      </c>
      <c r="U380" s="8"/>
      <c r="V380" s="8"/>
      <c r="W380" s="17">
        <v>45073</v>
      </c>
      <c r="X380" s="17"/>
      <c r="Y380" s="8"/>
      <c r="Z380" s="17">
        <v>45077</v>
      </c>
      <c r="AA380" s="9"/>
      <c r="AB380" s="8"/>
      <c r="AC380" s="8"/>
      <c r="AD380" s="8"/>
      <c r="AE380" s="8"/>
      <c r="AF380" s="8"/>
    </row>
    <row r="381" spans="1:32" ht="30">
      <c r="A381" s="8">
        <v>377</v>
      </c>
      <c r="B381" s="55"/>
      <c r="C381" s="8" t="s">
        <v>454</v>
      </c>
      <c r="D381" s="8" t="s">
        <v>426</v>
      </c>
      <c r="E381" s="8" t="s">
        <v>42</v>
      </c>
      <c r="F381" s="9" t="s">
        <v>66</v>
      </c>
      <c r="G381" s="9" t="s">
        <v>66</v>
      </c>
      <c r="H381" s="26" t="s">
        <v>240</v>
      </c>
      <c r="I381" s="8" t="s">
        <v>241</v>
      </c>
      <c r="J381" s="9">
        <v>45061</v>
      </c>
      <c r="K381" s="58"/>
      <c r="L381" s="16" t="s">
        <v>317</v>
      </c>
      <c r="M381" s="9">
        <f t="shared" si="115"/>
        <v>45071</v>
      </c>
      <c r="N381" s="8"/>
      <c r="O381" s="8" t="s">
        <v>47</v>
      </c>
      <c r="P381" s="9">
        <f t="shared" si="116"/>
        <v>45067</v>
      </c>
      <c r="Q381" s="8"/>
      <c r="R381" s="9">
        <f t="shared" si="117"/>
        <v>45070</v>
      </c>
      <c r="S381" s="8"/>
      <c r="T381" s="9">
        <f t="shared" si="118"/>
        <v>45073</v>
      </c>
      <c r="U381" s="8"/>
      <c r="V381" s="8"/>
      <c r="W381" s="17">
        <v>45073</v>
      </c>
      <c r="X381" s="17"/>
      <c r="Y381" s="8"/>
      <c r="Z381" s="17">
        <v>45077</v>
      </c>
      <c r="AA381" s="9"/>
      <c r="AB381" s="8"/>
      <c r="AC381" s="8"/>
      <c r="AD381" s="8"/>
      <c r="AE381" s="8"/>
      <c r="AF381" s="8"/>
    </row>
    <row r="382" spans="1:32" ht="30">
      <c r="A382" s="8">
        <v>378</v>
      </c>
      <c r="B382" s="55"/>
      <c r="C382" s="8" t="s">
        <v>455</v>
      </c>
      <c r="D382" s="8" t="s">
        <v>426</v>
      </c>
      <c r="E382" s="8" t="s">
        <v>42</v>
      </c>
      <c r="F382" s="9" t="s">
        <v>66</v>
      </c>
      <c r="G382" s="9" t="s">
        <v>66</v>
      </c>
      <c r="H382" s="26" t="s">
        <v>240</v>
      </c>
      <c r="I382" s="8" t="s">
        <v>241</v>
      </c>
      <c r="J382" s="9">
        <v>45061</v>
      </c>
      <c r="K382" s="58"/>
      <c r="L382" s="16" t="s">
        <v>317</v>
      </c>
      <c r="M382" s="9">
        <f t="shared" si="115"/>
        <v>45071</v>
      </c>
      <c r="N382" s="8"/>
      <c r="O382" s="8" t="s">
        <v>47</v>
      </c>
      <c r="P382" s="9">
        <f t="shared" si="116"/>
        <v>45067</v>
      </c>
      <c r="Q382" s="8"/>
      <c r="R382" s="9">
        <f t="shared" si="117"/>
        <v>45070</v>
      </c>
      <c r="S382" s="8"/>
      <c r="T382" s="9">
        <f t="shared" si="118"/>
        <v>45073</v>
      </c>
      <c r="U382" s="8"/>
      <c r="V382" s="8"/>
      <c r="W382" s="17">
        <v>45073</v>
      </c>
      <c r="X382" s="17"/>
      <c r="Y382" s="8"/>
      <c r="Z382" s="17">
        <v>45077</v>
      </c>
      <c r="AA382" s="9"/>
      <c r="AB382" s="8"/>
      <c r="AC382" s="8"/>
      <c r="AD382" s="8"/>
      <c r="AE382" s="8"/>
      <c r="AF382" s="8"/>
    </row>
    <row r="383" spans="1:32" ht="30">
      <c r="A383" s="8">
        <v>379</v>
      </c>
      <c r="B383" s="55"/>
      <c r="C383" s="8" t="s">
        <v>456</v>
      </c>
      <c r="D383" s="8" t="s">
        <v>426</v>
      </c>
      <c r="E383" s="8" t="s">
        <v>42</v>
      </c>
      <c r="F383" s="9" t="s">
        <v>66</v>
      </c>
      <c r="G383" s="9" t="s">
        <v>66</v>
      </c>
      <c r="H383" s="26" t="s">
        <v>240</v>
      </c>
      <c r="I383" s="8" t="s">
        <v>241</v>
      </c>
      <c r="J383" s="9">
        <v>45061</v>
      </c>
      <c r="K383" s="58"/>
      <c r="L383" s="16" t="s">
        <v>317</v>
      </c>
      <c r="M383" s="9">
        <f t="shared" si="115"/>
        <v>45071</v>
      </c>
      <c r="N383" s="8"/>
      <c r="O383" s="8" t="s">
        <v>47</v>
      </c>
      <c r="P383" s="9">
        <f t="shared" si="116"/>
        <v>45067</v>
      </c>
      <c r="Q383" s="8"/>
      <c r="R383" s="9">
        <f t="shared" si="117"/>
        <v>45070</v>
      </c>
      <c r="S383" s="8"/>
      <c r="T383" s="9">
        <f t="shared" si="118"/>
        <v>45073</v>
      </c>
      <c r="U383" s="8"/>
      <c r="V383" s="8"/>
      <c r="W383" s="17">
        <v>45073</v>
      </c>
      <c r="X383" s="17"/>
      <c r="Y383" s="8"/>
      <c r="Z383" s="17">
        <v>45077</v>
      </c>
      <c r="AA383" s="9"/>
      <c r="AB383" s="8"/>
      <c r="AC383" s="8"/>
      <c r="AD383" s="8"/>
      <c r="AE383" s="8"/>
      <c r="AF383" s="8"/>
    </row>
    <row r="384" spans="1:32" ht="30">
      <c r="A384" s="8">
        <v>380</v>
      </c>
      <c r="B384" s="55"/>
      <c r="C384" s="8" t="s">
        <v>457</v>
      </c>
      <c r="D384" s="8" t="s">
        <v>426</v>
      </c>
      <c r="E384" s="8" t="s">
        <v>42</v>
      </c>
      <c r="F384" s="9" t="s">
        <v>66</v>
      </c>
      <c r="G384" s="9" t="s">
        <v>66</v>
      </c>
      <c r="H384" s="26" t="s">
        <v>240</v>
      </c>
      <c r="I384" s="8" t="s">
        <v>241</v>
      </c>
      <c r="J384" s="9">
        <v>45061</v>
      </c>
      <c r="K384" s="58"/>
      <c r="L384" s="16" t="s">
        <v>317</v>
      </c>
      <c r="M384" s="9">
        <f t="shared" si="115"/>
        <v>45071</v>
      </c>
      <c r="N384" s="8"/>
      <c r="O384" s="8" t="s">
        <v>47</v>
      </c>
      <c r="P384" s="9">
        <f t="shared" si="116"/>
        <v>45067</v>
      </c>
      <c r="Q384" s="8"/>
      <c r="R384" s="9">
        <f t="shared" si="117"/>
        <v>45070</v>
      </c>
      <c r="S384" s="8"/>
      <c r="T384" s="9">
        <f t="shared" si="118"/>
        <v>45073</v>
      </c>
      <c r="U384" s="8"/>
      <c r="V384" s="8"/>
      <c r="W384" s="17">
        <v>45073</v>
      </c>
      <c r="X384" s="17"/>
      <c r="Y384" s="8"/>
      <c r="Z384" s="17">
        <v>45077</v>
      </c>
      <c r="AA384" s="9"/>
      <c r="AB384" s="8"/>
      <c r="AC384" s="8"/>
      <c r="AD384" s="8"/>
      <c r="AE384" s="8"/>
      <c r="AF384" s="8"/>
    </row>
    <row r="385" spans="1:32" ht="15" hidden="1">
      <c r="A385" s="8">
        <v>381</v>
      </c>
      <c r="B385" s="55" t="s">
        <v>458</v>
      </c>
      <c r="C385" s="24" t="s">
        <v>459</v>
      </c>
      <c r="D385" s="8"/>
      <c r="E385" s="8"/>
      <c r="F385" s="9"/>
      <c r="G385" s="9"/>
      <c r="H385" s="26"/>
      <c r="I385" s="8"/>
      <c r="J385" s="9"/>
      <c r="K385" s="15"/>
      <c r="L385" s="16"/>
      <c r="M385" s="9"/>
      <c r="N385" s="8"/>
      <c r="O385" s="8"/>
      <c r="P385" s="9"/>
      <c r="Q385" s="8"/>
      <c r="R385" s="9"/>
      <c r="S385" s="8"/>
      <c r="T385" s="9"/>
      <c r="U385" s="8"/>
      <c r="V385" s="8"/>
      <c r="W385" s="17"/>
      <c r="X385" s="17"/>
      <c r="Y385" s="8"/>
      <c r="Z385" s="17"/>
      <c r="AA385" s="9"/>
      <c r="AB385" s="8"/>
      <c r="AC385" s="8"/>
      <c r="AD385" s="8"/>
      <c r="AE385" s="8"/>
      <c r="AF385" s="8"/>
    </row>
    <row r="386" spans="1:32" ht="30">
      <c r="A386" s="8">
        <v>382</v>
      </c>
      <c r="B386" s="55"/>
      <c r="C386" s="8" t="s">
        <v>460</v>
      </c>
      <c r="D386" s="8" t="s">
        <v>241</v>
      </c>
      <c r="E386" s="8" t="s">
        <v>42</v>
      </c>
      <c r="F386" s="9" t="s">
        <v>66</v>
      </c>
      <c r="G386" s="9" t="s">
        <v>66</v>
      </c>
      <c r="H386" s="26" t="s">
        <v>240</v>
      </c>
      <c r="I386" s="8" t="s">
        <v>241</v>
      </c>
      <c r="J386" s="9">
        <v>45021</v>
      </c>
      <c r="K386" s="58" t="s">
        <v>461</v>
      </c>
      <c r="L386" s="16" t="s">
        <v>317</v>
      </c>
      <c r="M386" s="9">
        <f t="shared" ref="M386:M391" si="119">J386+10</f>
        <v>45031</v>
      </c>
      <c r="N386" s="8"/>
      <c r="O386" s="8" t="s">
        <v>47</v>
      </c>
      <c r="P386" s="9">
        <f t="shared" ref="P386:P391" si="120">J386+6</f>
        <v>45027</v>
      </c>
      <c r="Q386" s="9"/>
      <c r="R386" s="9">
        <f t="shared" ref="R386:R391" si="121">J386+9</f>
        <v>45030</v>
      </c>
      <c r="S386" s="9"/>
      <c r="T386" s="9">
        <f t="shared" ref="T386:T391" si="122">J386+12</f>
        <v>45033</v>
      </c>
      <c r="U386" s="9"/>
      <c r="V386" s="8"/>
      <c r="W386" s="17">
        <v>45073</v>
      </c>
      <c r="X386" s="17"/>
      <c r="Y386" s="8"/>
      <c r="Z386" s="17">
        <v>45077</v>
      </c>
      <c r="AA386" s="9"/>
      <c r="AB386" s="8"/>
      <c r="AC386" s="8"/>
      <c r="AD386" s="8"/>
      <c r="AE386" s="8"/>
      <c r="AF386" s="8"/>
    </row>
    <row r="387" spans="1:32" ht="45">
      <c r="A387" s="8">
        <v>383</v>
      </c>
      <c r="B387" s="55"/>
      <c r="C387" s="8" t="s">
        <v>462</v>
      </c>
      <c r="D387" s="8" t="s">
        <v>241</v>
      </c>
      <c r="E387" s="8" t="s">
        <v>42</v>
      </c>
      <c r="F387" s="9" t="s">
        <v>66</v>
      </c>
      <c r="G387" s="9" t="s">
        <v>66</v>
      </c>
      <c r="H387" s="26" t="s">
        <v>240</v>
      </c>
      <c r="I387" s="8" t="s">
        <v>241</v>
      </c>
      <c r="J387" s="9">
        <v>45021</v>
      </c>
      <c r="K387" s="58"/>
      <c r="L387" s="16" t="s">
        <v>317</v>
      </c>
      <c r="M387" s="9">
        <f t="shared" si="119"/>
        <v>45031</v>
      </c>
      <c r="N387" s="8"/>
      <c r="O387" s="8" t="s">
        <v>47</v>
      </c>
      <c r="P387" s="9">
        <f t="shared" si="120"/>
        <v>45027</v>
      </c>
      <c r="Q387" s="9"/>
      <c r="R387" s="9">
        <f t="shared" si="121"/>
        <v>45030</v>
      </c>
      <c r="S387" s="9"/>
      <c r="T387" s="9">
        <f t="shared" si="122"/>
        <v>45033</v>
      </c>
      <c r="U387" s="9"/>
      <c r="V387" s="8"/>
      <c r="W387" s="17">
        <v>45073</v>
      </c>
      <c r="X387" s="17"/>
      <c r="Y387" s="8"/>
      <c r="Z387" s="17">
        <v>45077</v>
      </c>
      <c r="AA387" s="9"/>
      <c r="AB387" s="8"/>
      <c r="AC387" s="8"/>
      <c r="AD387" s="8"/>
      <c r="AE387" s="8"/>
      <c r="AF387" s="8"/>
    </row>
    <row r="388" spans="1:32" ht="60">
      <c r="A388" s="8">
        <v>384</v>
      </c>
      <c r="B388" s="55"/>
      <c r="C388" s="8" t="s">
        <v>463</v>
      </c>
      <c r="D388" s="8" t="s">
        <v>241</v>
      </c>
      <c r="E388" s="8" t="s">
        <v>42</v>
      </c>
      <c r="F388" s="9" t="s">
        <v>66</v>
      </c>
      <c r="G388" s="9" t="s">
        <v>66</v>
      </c>
      <c r="H388" s="26" t="s">
        <v>240</v>
      </c>
      <c r="I388" s="8" t="s">
        <v>241</v>
      </c>
      <c r="J388" s="9">
        <v>45021</v>
      </c>
      <c r="K388" s="58"/>
      <c r="L388" s="16" t="s">
        <v>317</v>
      </c>
      <c r="M388" s="9">
        <f t="shared" si="119"/>
        <v>45031</v>
      </c>
      <c r="N388" s="8"/>
      <c r="O388" s="8" t="s">
        <v>47</v>
      </c>
      <c r="P388" s="9">
        <f t="shared" si="120"/>
        <v>45027</v>
      </c>
      <c r="Q388" s="9"/>
      <c r="R388" s="9">
        <f t="shared" si="121"/>
        <v>45030</v>
      </c>
      <c r="S388" s="9"/>
      <c r="T388" s="9">
        <f t="shared" si="122"/>
        <v>45033</v>
      </c>
      <c r="U388" s="9"/>
      <c r="V388" s="8"/>
      <c r="W388" s="17">
        <v>45073</v>
      </c>
      <c r="X388" s="17"/>
      <c r="Y388" s="8"/>
      <c r="Z388" s="17">
        <v>45077</v>
      </c>
      <c r="AA388" s="9"/>
      <c r="AB388" s="8"/>
      <c r="AC388" s="8"/>
      <c r="AD388" s="8"/>
      <c r="AE388" s="8"/>
      <c r="AF388" s="8"/>
    </row>
    <row r="389" spans="1:32" ht="45">
      <c r="A389" s="8">
        <v>385</v>
      </c>
      <c r="B389" s="55"/>
      <c r="C389" s="8" t="s">
        <v>464</v>
      </c>
      <c r="D389" s="8" t="s">
        <v>241</v>
      </c>
      <c r="E389" s="8" t="s">
        <v>42</v>
      </c>
      <c r="F389" s="9" t="s">
        <v>66</v>
      </c>
      <c r="G389" s="9" t="s">
        <v>66</v>
      </c>
      <c r="H389" s="26" t="s">
        <v>240</v>
      </c>
      <c r="I389" s="8" t="s">
        <v>241</v>
      </c>
      <c r="J389" s="9">
        <v>45021</v>
      </c>
      <c r="K389" s="58"/>
      <c r="L389" s="16" t="s">
        <v>317</v>
      </c>
      <c r="M389" s="9">
        <f t="shared" si="119"/>
        <v>45031</v>
      </c>
      <c r="N389" s="8"/>
      <c r="O389" s="8" t="s">
        <v>47</v>
      </c>
      <c r="P389" s="9">
        <f t="shared" si="120"/>
        <v>45027</v>
      </c>
      <c r="Q389" s="9"/>
      <c r="R389" s="9">
        <f t="shared" si="121"/>
        <v>45030</v>
      </c>
      <c r="S389" s="9"/>
      <c r="T389" s="9">
        <f t="shared" si="122"/>
        <v>45033</v>
      </c>
      <c r="U389" s="9"/>
      <c r="V389" s="8"/>
      <c r="W389" s="17">
        <v>45073</v>
      </c>
      <c r="X389" s="17"/>
      <c r="Y389" s="8"/>
      <c r="Z389" s="17">
        <v>45077</v>
      </c>
      <c r="AA389" s="9"/>
      <c r="AB389" s="8"/>
      <c r="AC389" s="8"/>
      <c r="AD389" s="8"/>
      <c r="AE389" s="8"/>
      <c r="AF389" s="8"/>
    </row>
    <row r="390" spans="1:32" ht="45">
      <c r="A390" s="8">
        <v>386</v>
      </c>
      <c r="B390" s="55"/>
      <c r="C390" s="8" t="s">
        <v>465</v>
      </c>
      <c r="D390" s="8" t="s">
        <v>241</v>
      </c>
      <c r="E390" s="8" t="s">
        <v>42</v>
      </c>
      <c r="F390" s="9" t="s">
        <v>66</v>
      </c>
      <c r="G390" s="9" t="s">
        <v>66</v>
      </c>
      <c r="H390" s="26" t="s">
        <v>240</v>
      </c>
      <c r="I390" s="8" t="s">
        <v>241</v>
      </c>
      <c r="J390" s="9">
        <v>45021</v>
      </c>
      <c r="K390" s="58"/>
      <c r="L390" s="16" t="s">
        <v>317</v>
      </c>
      <c r="M390" s="9">
        <f t="shared" si="119"/>
        <v>45031</v>
      </c>
      <c r="N390" s="8"/>
      <c r="O390" s="8" t="s">
        <v>47</v>
      </c>
      <c r="P390" s="9">
        <f t="shared" si="120"/>
        <v>45027</v>
      </c>
      <c r="Q390" s="9"/>
      <c r="R390" s="9">
        <f t="shared" si="121"/>
        <v>45030</v>
      </c>
      <c r="S390" s="9"/>
      <c r="T390" s="9">
        <f t="shared" si="122"/>
        <v>45033</v>
      </c>
      <c r="U390" s="9"/>
      <c r="V390" s="8"/>
      <c r="W390" s="17">
        <v>45073</v>
      </c>
      <c r="X390" s="17"/>
      <c r="Y390" s="8"/>
      <c r="Z390" s="17">
        <v>45077</v>
      </c>
      <c r="AA390" s="9"/>
      <c r="AB390" s="8"/>
      <c r="AC390" s="8"/>
      <c r="AD390" s="8"/>
      <c r="AE390" s="8"/>
      <c r="AF390" s="8"/>
    </row>
    <row r="391" spans="1:32" ht="45">
      <c r="A391" s="8">
        <v>387</v>
      </c>
      <c r="B391" s="55"/>
      <c r="C391" s="8" t="s">
        <v>466</v>
      </c>
      <c r="D391" s="8" t="s">
        <v>241</v>
      </c>
      <c r="E391" s="8" t="s">
        <v>42</v>
      </c>
      <c r="F391" s="9" t="s">
        <v>66</v>
      </c>
      <c r="G391" s="9" t="s">
        <v>66</v>
      </c>
      <c r="H391" s="26" t="s">
        <v>240</v>
      </c>
      <c r="I391" s="8" t="s">
        <v>241</v>
      </c>
      <c r="J391" s="9">
        <v>45061</v>
      </c>
      <c r="K391" s="15" t="s">
        <v>467</v>
      </c>
      <c r="L391" s="16" t="s">
        <v>317</v>
      </c>
      <c r="M391" s="9">
        <f t="shared" si="119"/>
        <v>45071</v>
      </c>
      <c r="N391" s="8"/>
      <c r="O391" s="8" t="s">
        <v>47</v>
      </c>
      <c r="P391" s="9">
        <f t="shared" si="120"/>
        <v>45067</v>
      </c>
      <c r="Q391" s="9"/>
      <c r="R391" s="9">
        <f t="shared" si="121"/>
        <v>45070</v>
      </c>
      <c r="S391" s="9"/>
      <c r="T391" s="9">
        <f t="shared" si="122"/>
        <v>45073</v>
      </c>
      <c r="U391" s="9"/>
      <c r="V391" s="8"/>
      <c r="W391" s="17">
        <v>45073</v>
      </c>
      <c r="X391" s="17"/>
      <c r="Y391" s="8"/>
      <c r="Z391" s="17">
        <v>45077</v>
      </c>
      <c r="AA391" s="9"/>
      <c r="AB391" s="8"/>
      <c r="AC391" s="8"/>
      <c r="AD391" s="8"/>
      <c r="AE391" s="8"/>
      <c r="AF391" s="8"/>
    </row>
    <row r="392" spans="1:32" ht="15" hidden="1">
      <c r="A392" s="8">
        <v>388</v>
      </c>
      <c r="B392" s="55"/>
      <c r="C392" s="24" t="s">
        <v>468</v>
      </c>
      <c r="D392" s="8"/>
      <c r="E392" s="8"/>
      <c r="F392" s="9"/>
      <c r="G392" s="9"/>
      <c r="H392" s="26"/>
      <c r="I392" s="8"/>
      <c r="J392" s="9"/>
      <c r="K392" s="15"/>
      <c r="L392" s="16"/>
      <c r="M392" s="9"/>
      <c r="N392" s="8"/>
      <c r="O392" s="8"/>
      <c r="P392" s="9"/>
      <c r="Q392" s="9"/>
      <c r="R392" s="9"/>
      <c r="S392" s="9"/>
      <c r="T392" s="9"/>
      <c r="U392" s="9"/>
      <c r="V392" s="8"/>
      <c r="W392" s="17"/>
      <c r="X392" s="17"/>
      <c r="Y392" s="8"/>
      <c r="Z392" s="17"/>
      <c r="AA392" s="9"/>
      <c r="AB392" s="8"/>
      <c r="AC392" s="8"/>
      <c r="AD392" s="8"/>
      <c r="AE392" s="8"/>
      <c r="AF392" s="8"/>
    </row>
    <row r="393" spans="1:32" ht="30">
      <c r="A393" s="8">
        <v>389</v>
      </c>
      <c r="B393" s="55"/>
      <c r="C393" s="8" t="s">
        <v>469</v>
      </c>
      <c r="D393" s="8" t="s">
        <v>241</v>
      </c>
      <c r="E393" s="8" t="s">
        <v>42</v>
      </c>
      <c r="F393" s="9" t="s">
        <v>66</v>
      </c>
      <c r="G393" s="9" t="s">
        <v>66</v>
      </c>
      <c r="H393" s="26" t="s">
        <v>240</v>
      </c>
      <c r="I393" s="8" t="s">
        <v>241</v>
      </c>
      <c r="J393" s="9">
        <v>45021</v>
      </c>
      <c r="K393" s="58" t="s">
        <v>264</v>
      </c>
      <c r="L393" s="16" t="s">
        <v>317</v>
      </c>
      <c r="M393" s="9">
        <f t="shared" ref="M393:M399" si="123">J393+10</f>
        <v>45031</v>
      </c>
      <c r="N393" s="8"/>
      <c r="O393" s="8" t="s">
        <v>47</v>
      </c>
      <c r="P393" s="9">
        <f t="shared" ref="P393:P399" si="124">J393+6</f>
        <v>45027</v>
      </c>
      <c r="Q393" s="9"/>
      <c r="R393" s="9">
        <f t="shared" ref="R393:R399" si="125">J393+9</f>
        <v>45030</v>
      </c>
      <c r="S393" s="9"/>
      <c r="T393" s="9">
        <f t="shared" ref="T393:T399" si="126">J393+12</f>
        <v>45033</v>
      </c>
      <c r="U393" s="9"/>
      <c r="V393" s="8"/>
      <c r="W393" s="17">
        <v>45073</v>
      </c>
      <c r="X393" s="17"/>
      <c r="Y393" s="8"/>
      <c r="Z393" s="17">
        <v>45077</v>
      </c>
      <c r="AA393" s="9"/>
      <c r="AB393" s="8"/>
      <c r="AC393" s="8"/>
      <c r="AD393" s="8"/>
      <c r="AE393" s="8"/>
      <c r="AF393" s="8"/>
    </row>
    <row r="394" spans="1:32" ht="30">
      <c r="A394" s="8">
        <v>390</v>
      </c>
      <c r="B394" s="55"/>
      <c r="C394" s="8" t="s">
        <v>470</v>
      </c>
      <c r="D394" s="8" t="s">
        <v>241</v>
      </c>
      <c r="E394" s="8" t="s">
        <v>42</v>
      </c>
      <c r="F394" s="9" t="s">
        <v>66</v>
      </c>
      <c r="G394" s="9" t="s">
        <v>66</v>
      </c>
      <c r="H394" s="26" t="s">
        <v>240</v>
      </c>
      <c r="I394" s="8" t="s">
        <v>241</v>
      </c>
      <c r="J394" s="9">
        <v>45021</v>
      </c>
      <c r="K394" s="58"/>
      <c r="L394" s="16" t="s">
        <v>317</v>
      </c>
      <c r="M394" s="9">
        <f t="shared" si="123"/>
        <v>45031</v>
      </c>
      <c r="N394" s="8"/>
      <c r="O394" s="8" t="s">
        <v>47</v>
      </c>
      <c r="P394" s="9">
        <f t="shared" si="124"/>
        <v>45027</v>
      </c>
      <c r="Q394" s="8"/>
      <c r="R394" s="9">
        <f t="shared" si="125"/>
        <v>45030</v>
      </c>
      <c r="S394" s="8"/>
      <c r="T394" s="9">
        <f t="shared" si="126"/>
        <v>45033</v>
      </c>
      <c r="U394" s="8"/>
      <c r="V394" s="8"/>
      <c r="W394" s="17">
        <v>45073</v>
      </c>
      <c r="X394" s="17"/>
      <c r="Y394" s="8"/>
      <c r="Z394" s="17">
        <v>45077</v>
      </c>
      <c r="AA394" s="9"/>
      <c r="AB394" s="8"/>
      <c r="AC394" s="8"/>
      <c r="AD394" s="8"/>
      <c r="AE394" s="16"/>
      <c r="AF394" s="8"/>
    </row>
    <row r="395" spans="1:32" ht="30">
      <c r="A395" s="8">
        <v>391</v>
      </c>
      <c r="B395" s="55"/>
      <c r="C395" s="8" t="s">
        <v>471</v>
      </c>
      <c r="D395" s="8" t="s">
        <v>241</v>
      </c>
      <c r="E395" s="8" t="s">
        <v>42</v>
      </c>
      <c r="F395" s="9" t="s">
        <v>66</v>
      </c>
      <c r="G395" s="9" t="s">
        <v>66</v>
      </c>
      <c r="H395" s="26" t="s">
        <v>240</v>
      </c>
      <c r="I395" s="8" t="s">
        <v>241</v>
      </c>
      <c r="J395" s="9">
        <v>45021</v>
      </c>
      <c r="K395" s="58"/>
      <c r="L395" s="16" t="s">
        <v>317</v>
      </c>
      <c r="M395" s="9">
        <f t="shared" si="123"/>
        <v>45031</v>
      </c>
      <c r="N395" s="8"/>
      <c r="O395" s="8" t="s">
        <v>47</v>
      </c>
      <c r="P395" s="9">
        <f t="shared" si="124"/>
        <v>45027</v>
      </c>
      <c r="Q395" s="8"/>
      <c r="R395" s="9">
        <f t="shared" si="125"/>
        <v>45030</v>
      </c>
      <c r="S395" s="8"/>
      <c r="T395" s="9">
        <f t="shared" si="126"/>
        <v>45033</v>
      </c>
      <c r="U395" s="8"/>
      <c r="V395" s="8"/>
      <c r="W395" s="17">
        <v>45073</v>
      </c>
      <c r="X395" s="17"/>
      <c r="Y395" s="8"/>
      <c r="Z395" s="17">
        <v>45077</v>
      </c>
      <c r="AA395" s="9"/>
      <c r="AB395" s="8"/>
      <c r="AC395" s="8"/>
      <c r="AD395" s="8"/>
      <c r="AE395" s="16"/>
      <c r="AF395" s="8"/>
    </row>
    <row r="396" spans="1:32" ht="30">
      <c r="A396" s="8">
        <v>392</v>
      </c>
      <c r="B396" s="55"/>
      <c r="C396" s="8" t="s">
        <v>472</v>
      </c>
      <c r="D396" s="8" t="s">
        <v>241</v>
      </c>
      <c r="E396" s="8" t="s">
        <v>42</v>
      </c>
      <c r="F396" s="9" t="s">
        <v>66</v>
      </c>
      <c r="G396" s="9" t="s">
        <v>66</v>
      </c>
      <c r="H396" s="26" t="s">
        <v>240</v>
      </c>
      <c r="I396" s="8" t="s">
        <v>241</v>
      </c>
      <c r="J396" s="9">
        <v>45021</v>
      </c>
      <c r="K396" s="58"/>
      <c r="L396" s="16" t="s">
        <v>317</v>
      </c>
      <c r="M396" s="9">
        <f t="shared" si="123"/>
        <v>45031</v>
      </c>
      <c r="N396" s="8"/>
      <c r="O396" s="8" t="s">
        <v>47</v>
      </c>
      <c r="P396" s="9">
        <f t="shared" si="124"/>
        <v>45027</v>
      </c>
      <c r="Q396" s="8"/>
      <c r="R396" s="9">
        <f t="shared" si="125"/>
        <v>45030</v>
      </c>
      <c r="S396" s="8"/>
      <c r="T396" s="9">
        <f t="shared" si="126"/>
        <v>45033</v>
      </c>
      <c r="U396" s="8"/>
      <c r="V396" s="8"/>
      <c r="W396" s="17">
        <v>45073</v>
      </c>
      <c r="X396" s="17"/>
      <c r="Y396" s="8"/>
      <c r="Z396" s="17">
        <v>45077</v>
      </c>
      <c r="AA396" s="9"/>
      <c r="AB396" s="8"/>
      <c r="AC396" s="8"/>
      <c r="AD396" s="8"/>
      <c r="AE396" s="16"/>
      <c r="AF396" s="8"/>
    </row>
    <row r="397" spans="1:32" ht="30">
      <c r="A397" s="8">
        <v>393</v>
      </c>
      <c r="B397" s="55"/>
      <c r="C397" s="8" t="s">
        <v>473</v>
      </c>
      <c r="D397" s="8" t="s">
        <v>241</v>
      </c>
      <c r="E397" s="8" t="s">
        <v>42</v>
      </c>
      <c r="F397" s="9" t="s">
        <v>66</v>
      </c>
      <c r="G397" s="9" t="s">
        <v>66</v>
      </c>
      <c r="H397" s="26" t="s">
        <v>240</v>
      </c>
      <c r="I397" s="8" t="s">
        <v>241</v>
      </c>
      <c r="J397" s="9">
        <v>45021</v>
      </c>
      <c r="K397" s="58"/>
      <c r="L397" s="16" t="s">
        <v>317</v>
      </c>
      <c r="M397" s="9">
        <f t="shared" si="123"/>
        <v>45031</v>
      </c>
      <c r="N397" s="8"/>
      <c r="O397" s="8" t="s">
        <v>47</v>
      </c>
      <c r="P397" s="9">
        <f t="shared" si="124"/>
        <v>45027</v>
      </c>
      <c r="Q397" s="8"/>
      <c r="R397" s="9">
        <f t="shared" si="125"/>
        <v>45030</v>
      </c>
      <c r="S397" s="8"/>
      <c r="T397" s="9">
        <f t="shared" si="126"/>
        <v>45033</v>
      </c>
      <c r="U397" s="8"/>
      <c r="V397" s="8"/>
      <c r="W397" s="17">
        <v>45073</v>
      </c>
      <c r="X397" s="17"/>
      <c r="Y397" s="8"/>
      <c r="Z397" s="17">
        <v>45077</v>
      </c>
      <c r="AA397" s="9"/>
      <c r="AB397" s="8"/>
      <c r="AC397" s="8"/>
      <c r="AD397" s="8"/>
      <c r="AE397" s="16"/>
      <c r="AF397" s="8"/>
    </row>
    <row r="398" spans="1:32" ht="30">
      <c r="A398" s="8">
        <v>394</v>
      </c>
      <c r="B398" s="55"/>
      <c r="C398" s="8" t="s">
        <v>474</v>
      </c>
      <c r="D398" s="8" t="s">
        <v>241</v>
      </c>
      <c r="E398" s="8" t="s">
        <v>42</v>
      </c>
      <c r="F398" s="9" t="s">
        <v>66</v>
      </c>
      <c r="G398" s="9" t="s">
        <v>66</v>
      </c>
      <c r="H398" s="26" t="s">
        <v>240</v>
      </c>
      <c r="I398" s="8" t="s">
        <v>241</v>
      </c>
      <c r="J398" s="9">
        <v>45046</v>
      </c>
      <c r="K398" s="58" t="s">
        <v>475</v>
      </c>
      <c r="L398" s="16" t="s">
        <v>317</v>
      </c>
      <c r="M398" s="9">
        <f t="shared" si="123"/>
        <v>45056</v>
      </c>
      <c r="N398" s="8"/>
      <c r="O398" s="8" t="s">
        <v>47</v>
      </c>
      <c r="P398" s="9">
        <f t="shared" si="124"/>
        <v>45052</v>
      </c>
      <c r="Q398" s="8"/>
      <c r="R398" s="9">
        <f t="shared" si="125"/>
        <v>45055</v>
      </c>
      <c r="S398" s="8"/>
      <c r="T398" s="9">
        <f t="shared" si="126"/>
        <v>45058</v>
      </c>
      <c r="U398" s="8"/>
      <c r="V398" s="8"/>
      <c r="W398" s="17">
        <v>45073</v>
      </c>
      <c r="X398" s="17"/>
      <c r="Y398" s="8"/>
      <c r="Z398" s="17">
        <v>45077</v>
      </c>
      <c r="AA398" s="9"/>
      <c r="AB398" s="8"/>
      <c r="AC398" s="8"/>
      <c r="AD398" s="8"/>
      <c r="AE398" s="16"/>
      <c r="AF398" s="8"/>
    </row>
    <row r="399" spans="1:32" ht="30">
      <c r="A399" s="8">
        <v>395</v>
      </c>
      <c r="B399" s="55"/>
      <c r="C399" s="8" t="s">
        <v>476</v>
      </c>
      <c r="D399" s="8" t="s">
        <v>241</v>
      </c>
      <c r="E399" s="8" t="s">
        <v>42</v>
      </c>
      <c r="F399" s="9" t="s">
        <v>66</v>
      </c>
      <c r="G399" s="9" t="s">
        <v>66</v>
      </c>
      <c r="H399" s="26" t="s">
        <v>240</v>
      </c>
      <c r="I399" s="8" t="s">
        <v>241</v>
      </c>
      <c r="J399" s="9">
        <v>45046</v>
      </c>
      <c r="K399" s="58"/>
      <c r="L399" s="16" t="s">
        <v>317</v>
      </c>
      <c r="M399" s="9">
        <f t="shared" si="123"/>
        <v>45056</v>
      </c>
      <c r="N399" s="8"/>
      <c r="O399" s="8" t="s">
        <v>47</v>
      </c>
      <c r="P399" s="9">
        <f t="shared" si="124"/>
        <v>45052</v>
      </c>
      <c r="Q399" s="8"/>
      <c r="R399" s="9">
        <f t="shared" si="125"/>
        <v>45055</v>
      </c>
      <c r="S399" s="8"/>
      <c r="T399" s="9">
        <f t="shared" si="126"/>
        <v>45058</v>
      </c>
      <c r="U399" s="8"/>
      <c r="V399" s="8"/>
      <c r="W399" s="17">
        <v>45073</v>
      </c>
      <c r="X399" s="17"/>
      <c r="Y399" s="8"/>
      <c r="Z399" s="17">
        <v>45077</v>
      </c>
      <c r="AA399" s="9"/>
      <c r="AB399" s="8"/>
      <c r="AC399" s="8"/>
      <c r="AD399" s="8"/>
      <c r="AE399" s="16"/>
      <c r="AF399" s="8"/>
    </row>
    <row r="400" spans="1:32" ht="15" hidden="1">
      <c r="A400" s="8">
        <v>396</v>
      </c>
      <c r="B400" s="55"/>
      <c r="C400" s="24" t="s">
        <v>477</v>
      </c>
      <c r="D400" s="8"/>
      <c r="E400" s="8"/>
      <c r="F400" s="9"/>
      <c r="G400" s="9"/>
      <c r="H400" s="26"/>
      <c r="I400" s="8"/>
      <c r="J400" s="9"/>
      <c r="K400" s="15"/>
      <c r="L400" s="16"/>
      <c r="M400" s="9"/>
      <c r="N400" s="8"/>
      <c r="O400" s="8"/>
      <c r="P400" s="9"/>
      <c r="Q400" s="8"/>
      <c r="R400" s="9"/>
      <c r="S400" s="8"/>
      <c r="T400" s="9"/>
      <c r="U400" s="8"/>
      <c r="V400" s="8"/>
      <c r="W400" s="17"/>
      <c r="X400" s="17"/>
      <c r="Y400" s="8"/>
      <c r="Z400" s="17"/>
      <c r="AA400" s="9"/>
      <c r="AB400" s="8"/>
      <c r="AC400" s="8"/>
      <c r="AD400" s="8"/>
      <c r="AE400" s="16"/>
      <c r="AF400" s="8"/>
    </row>
    <row r="401" spans="1:32" ht="30">
      <c r="A401" s="8">
        <v>397</v>
      </c>
      <c r="B401" s="55"/>
      <c r="C401" s="8" t="s">
        <v>478</v>
      </c>
      <c r="D401" s="8" t="s">
        <v>241</v>
      </c>
      <c r="E401" s="8" t="s">
        <v>42</v>
      </c>
      <c r="F401" s="9" t="s">
        <v>66</v>
      </c>
      <c r="G401" s="9" t="s">
        <v>66</v>
      </c>
      <c r="H401" s="26" t="s">
        <v>240</v>
      </c>
      <c r="I401" s="8" t="s">
        <v>241</v>
      </c>
      <c r="J401" s="9">
        <v>45046</v>
      </c>
      <c r="K401" s="15" t="s">
        <v>284</v>
      </c>
      <c r="L401" s="16" t="s">
        <v>317</v>
      </c>
      <c r="M401" s="9">
        <f t="shared" ref="M401:M403" si="127">J401+10</f>
        <v>45056</v>
      </c>
      <c r="N401" s="8"/>
      <c r="O401" s="8" t="s">
        <v>47</v>
      </c>
      <c r="P401" s="9">
        <f t="shared" ref="P401:P403" si="128">J401+6</f>
        <v>45052</v>
      </c>
      <c r="Q401" s="8"/>
      <c r="R401" s="9">
        <f t="shared" ref="R401:R403" si="129">J401+9</f>
        <v>45055</v>
      </c>
      <c r="S401" s="8"/>
      <c r="T401" s="9">
        <f t="shared" ref="T401:T403" si="130">J401+12</f>
        <v>45058</v>
      </c>
      <c r="U401" s="8"/>
      <c r="V401" s="8"/>
      <c r="W401" s="17">
        <v>45073</v>
      </c>
      <c r="X401" s="17"/>
      <c r="Y401" s="8"/>
      <c r="Z401" s="17">
        <v>45077</v>
      </c>
      <c r="AA401" s="9"/>
      <c r="AB401" s="8"/>
      <c r="AC401" s="8"/>
      <c r="AD401" s="8"/>
      <c r="AE401" s="16"/>
      <c r="AF401" s="8"/>
    </row>
    <row r="402" spans="1:32" ht="30">
      <c r="A402" s="8">
        <v>398</v>
      </c>
      <c r="B402" s="55"/>
      <c r="C402" s="8" t="s">
        <v>479</v>
      </c>
      <c r="D402" s="8" t="s">
        <v>241</v>
      </c>
      <c r="E402" s="8" t="s">
        <v>42</v>
      </c>
      <c r="F402" s="9" t="s">
        <v>66</v>
      </c>
      <c r="G402" s="9" t="s">
        <v>66</v>
      </c>
      <c r="H402" s="26" t="s">
        <v>240</v>
      </c>
      <c r="I402" s="8" t="s">
        <v>241</v>
      </c>
      <c r="J402" s="9">
        <v>45021</v>
      </c>
      <c r="K402" s="15" t="s">
        <v>480</v>
      </c>
      <c r="L402" s="16" t="s">
        <v>317</v>
      </c>
      <c r="M402" s="9">
        <f t="shared" si="127"/>
        <v>45031</v>
      </c>
      <c r="N402" s="8"/>
      <c r="O402" s="8" t="s">
        <v>47</v>
      </c>
      <c r="P402" s="9">
        <f t="shared" si="128"/>
        <v>45027</v>
      </c>
      <c r="Q402" s="8"/>
      <c r="R402" s="9">
        <f t="shared" si="129"/>
        <v>45030</v>
      </c>
      <c r="S402" s="8"/>
      <c r="T402" s="9">
        <f t="shared" si="130"/>
        <v>45033</v>
      </c>
      <c r="U402" s="8"/>
      <c r="V402" s="8"/>
      <c r="W402" s="17">
        <v>45073</v>
      </c>
      <c r="X402" s="17"/>
      <c r="Y402" s="8"/>
      <c r="Z402" s="17">
        <v>45077</v>
      </c>
      <c r="AA402" s="9"/>
      <c r="AB402" s="8"/>
      <c r="AC402" s="8"/>
      <c r="AD402" s="8"/>
      <c r="AE402" s="16"/>
      <c r="AF402" s="8"/>
    </row>
    <row r="403" spans="1:32" ht="30">
      <c r="A403" s="8">
        <v>399</v>
      </c>
      <c r="B403" s="55"/>
      <c r="C403" s="8" t="s">
        <v>481</v>
      </c>
      <c r="D403" s="8" t="s">
        <v>241</v>
      </c>
      <c r="E403" s="8" t="s">
        <v>42</v>
      </c>
      <c r="F403" s="9" t="s">
        <v>66</v>
      </c>
      <c r="G403" s="9" t="s">
        <v>66</v>
      </c>
      <c r="H403" s="26" t="s">
        <v>240</v>
      </c>
      <c r="I403" s="8" t="s">
        <v>241</v>
      </c>
      <c r="J403" s="9">
        <v>45046</v>
      </c>
      <c r="K403" s="15" t="s">
        <v>284</v>
      </c>
      <c r="L403" s="16" t="s">
        <v>317</v>
      </c>
      <c r="M403" s="9">
        <f t="shared" si="127"/>
        <v>45056</v>
      </c>
      <c r="N403" s="8"/>
      <c r="O403" s="8" t="s">
        <v>47</v>
      </c>
      <c r="P403" s="9">
        <f t="shared" si="128"/>
        <v>45052</v>
      </c>
      <c r="Q403" s="8"/>
      <c r="R403" s="9">
        <f t="shared" si="129"/>
        <v>45055</v>
      </c>
      <c r="S403" s="8"/>
      <c r="T403" s="9">
        <f t="shared" si="130"/>
        <v>45058</v>
      </c>
      <c r="U403" s="8"/>
      <c r="V403" s="8"/>
      <c r="W403" s="17">
        <v>45073</v>
      </c>
      <c r="X403" s="17"/>
      <c r="Y403" s="8"/>
      <c r="Z403" s="17">
        <v>45077</v>
      </c>
      <c r="AA403" s="9"/>
      <c r="AB403" s="8"/>
      <c r="AC403" s="8"/>
      <c r="AD403" s="8"/>
      <c r="AE403" s="16"/>
      <c r="AF403" s="8"/>
    </row>
    <row r="404" spans="1:32" ht="15" hidden="1">
      <c r="A404" s="8">
        <v>400</v>
      </c>
      <c r="B404" s="55"/>
      <c r="C404" s="24" t="s">
        <v>482</v>
      </c>
      <c r="D404" s="8"/>
      <c r="E404" s="8"/>
      <c r="F404" s="9"/>
      <c r="G404" s="9"/>
      <c r="H404" s="26"/>
      <c r="I404" s="8"/>
      <c r="J404" s="9"/>
      <c r="K404" s="15"/>
      <c r="L404" s="16"/>
      <c r="M404" s="9"/>
      <c r="N404" s="8"/>
      <c r="O404" s="8"/>
      <c r="P404" s="9"/>
      <c r="Q404" s="8"/>
      <c r="R404" s="9"/>
      <c r="S404" s="8"/>
      <c r="T404" s="9"/>
      <c r="U404" s="8"/>
      <c r="V404" s="8"/>
      <c r="W404" s="17"/>
      <c r="X404" s="17"/>
      <c r="Y404" s="8"/>
      <c r="Z404" s="17"/>
      <c r="AA404" s="9"/>
      <c r="AB404" s="8"/>
      <c r="AC404" s="8"/>
      <c r="AD404" s="8"/>
      <c r="AE404" s="16"/>
      <c r="AF404" s="8"/>
    </row>
    <row r="405" spans="1:32" ht="30">
      <c r="A405" s="8">
        <v>401</v>
      </c>
      <c r="B405" s="55"/>
      <c r="C405" s="8" t="s">
        <v>483</v>
      </c>
      <c r="D405" s="8" t="s">
        <v>241</v>
      </c>
      <c r="E405" s="8" t="s">
        <v>42</v>
      </c>
      <c r="F405" s="9" t="s">
        <v>66</v>
      </c>
      <c r="G405" s="9" t="s">
        <v>66</v>
      </c>
      <c r="H405" s="26" t="s">
        <v>240</v>
      </c>
      <c r="I405" s="8" t="s">
        <v>241</v>
      </c>
      <c r="J405" s="9">
        <v>45021</v>
      </c>
      <c r="K405" s="58" t="s">
        <v>484</v>
      </c>
      <c r="L405" s="16" t="s">
        <v>317</v>
      </c>
      <c r="M405" s="9">
        <f t="shared" ref="M405:M419" si="131">J405+10</f>
        <v>45031</v>
      </c>
      <c r="N405" s="8"/>
      <c r="O405" s="8" t="s">
        <v>47</v>
      </c>
      <c r="P405" s="9">
        <f t="shared" ref="P405:P419" si="132">J405+6</f>
        <v>45027</v>
      </c>
      <c r="Q405" s="8"/>
      <c r="R405" s="9">
        <f t="shared" ref="R405:R419" si="133">J405+9</f>
        <v>45030</v>
      </c>
      <c r="S405" s="8"/>
      <c r="T405" s="9">
        <f t="shared" ref="T405:T419" si="134">J405+12</f>
        <v>45033</v>
      </c>
      <c r="U405" s="8"/>
      <c r="V405" s="8"/>
      <c r="W405" s="17">
        <v>45073</v>
      </c>
      <c r="X405" s="17"/>
      <c r="Y405" s="8"/>
      <c r="Z405" s="17">
        <v>45077</v>
      </c>
      <c r="AA405" s="9"/>
      <c r="AB405" s="8"/>
      <c r="AC405" s="8"/>
      <c r="AD405" s="8"/>
      <c r="AE405" s="16"/>
      <c r="AF405" s="8"/>
    </row>
    <row r="406" spans="1:32" ht="30">
      <c r="A406" s="8">
        <v>402</v>
      </c>
      <c r="B406" s="55"/>
      <c r="C406" s="8" t="s">
        <v>485</v>
      </c>
      <c r="D406" s="8" t="s">
        <v>241</v>
      </c>
      <c r="E406" s="8" t="s">
        <v>42</v>
      </c>
      <c r="F406" s="9" t="s">
        <v>66</v>
      </c>
      <c r="G406" s="9" t="s">
        <v>66</v>
      </c>
      <c r="H406" s="26" t="s">
        <v>240</v>
      </c>
      <c r="I406" s="8" t="s">
        <v>241</v>
      </c>
      <c r="J406" s="9">
        <v>45021</v>
      </c>
      <c r="K406" s="58"/>
      <c r="L406" s="16" t="s">
        <v>317</v>
      </c>
      <c r="M406" s="9">
        <f t="shared" si="131"/>
        <v>45031</v>
      </c>
      <c r="N406" s="8"/>
      <c r="O406" s="8" t="s">
        <v>47</v>
      </c>
      <c r="P406" s="9">
        <f t="shared" si="132"/>
        <v>45027</v>
      </c>
      <c r="Q406" s="8"/>
      <c r="R406" s="9">
        <f t="shared" si="133"/>
        <v>45030</v>
      </c>
      <c r="S406" s="8"/>
      <c r="T406" s="9">
        <f t="shared" si="134"/>
        <v>45033</v>
      </c>
      <c r="U406" s="8"/>
      <c r="V406" s="8"/>
      <c r="W406" s="17">
        <v>45073</v>
      </c>
      <c r="X406" s="17"/>
      <c r="Y406" s="8"/>
      <c r="Z406" s="17">
        <v>45077</v>
      </c>
      <c r="AA406" s="9"/>
      <c r="AB406" s="8"/>
      <c r="AC406" s="8"/>
      <c r="AD406" s="8"/>
      <c r="AE406" s="16"/>
      <c r="AF406" s="8"/>
    </row>
    <row r="407" spans="1:32" ht="30">
      <c r="A407" s="8">
        <v>403</v>
      </c>
      <c r="B407" s="55"/>
      <c r="C407" s="8" t="s">
        <v>486</v>
      </c>
      <c r="D407" s="8" t="s">
        <v>241</v>
      </c>
      <c r="E407" s="8" t="s">
        <v>42</v>
      </c>
      <c r="F407" s="9" t="s">
        <v>66</v>
      </c>
      <c r="G407" s="9" t="s">
        <v>66</v>
      </c>
      <c r="H407" s="26" t="s">
        <v>240</v>
      </c>
      <c r="I407" s="8" t="s">
        <v>241</v>
      </c>
      <c r="J407" s="9">
        <v>45021</v>
      </c>
      <c r="K407" s="58"/>
      <c r="L407" s="16" t="s">
        <v>317</v>
      </c>
      <c r="M407" s="9">
        <f t="shared" si="131"/>
        <v>45031</v>
      </c>
      <c r="N407" s="8"/>
      <c r="O407" s="8" t="s">
        <v>47</v>
      </c>
      <c r="P407" s="9">
        <f t="shared" si="132"/>
        <v>45027</v>
      </c>
      <c r="Q407" s="8"/>
      <c r="R407" s="9">
        <f t="shared" si="133"/>
        <v>45030</v>
      </c>
      <c r="S407" s="8"/>
      <c r="T407" s="9">
        <f t="shared" si="134"/>
        <v>45033</v>
      </c>
      <c r="U407" s="8"/>
      <c r="V407" s="8"/>
      <c r="W407" s="17">
        <v>45073</v>
      </c>
      <c r="X407" s="17"/>
      <c r="Y407" s="8"/>
      <c r="Z407" s="17">
        <v>45077</v>
      </c>
      <c r="AA407" s="9"/>
      <c r="AB407" s="8"/>
      <c r="AC407" s="8"/>
      <c r="AD407" s="8"/>
      <c r="AE407" s="16"/>
      <c r="AF407" s="8"/>
    </row>
    <row r="408" spans="1:32" ht="30">
      <c r="A408" s="8">
        <v>404</v>
      </c>
      <c r="B408" s="55"/>
      <c r="C408" s="8" t="s">
        <v>487</v>
      </c>
      <c r="D408" s="8" t="s">
        <v>241</v>
      </c>
      <c r="E408" s="8" t="s">
        <v>42</v>
      </c>
      <c r="F408" s="9" t="s">
        <v>66</v>
      </c>
      <c r="G408" s="9" t="s">
        <v>66</v>
      </c>
      <c r="H408" s="26" t="s">
        <v>240</v>
      </c>
      <c r="I408" s="8" t="s">
        <v>241</v>
      </c>
      <c r="J408" s="9">
        <v>45021</v>
      </c>
      <c r="K408" s="58"/>
      <c r="L408" s="16" t="s">
        <v>317</v>
      </c>
      <c r="M408" s="9">
        <f t="shared" si="131"/>
        <v>45031</v>
      </c>
      <c r="N408" s="8"/>
      <c r="O408" s="8" t="s">
        <v>47</v>
      </c>
      <c r="P408" s="9">
        <f t="shared" si="132"/>
        <v>45027</v>
      </c>
      <c r="Q408" s="8"/>
      <c r="R408" s="9">
        <f t="shared" si="133"/>
        <v>45030</v>
      </c>
      <c r="S408" s="8"/>
      <c r="T408" s="9">
        <f t="shared" si="134"/>
        <v>45033</v>
      </c>
      <c r="U408" s="8"/>
      <c r="V408" s="8"/>
      <c r="W408" s="17">
        <v>45073</v>
      </c>
      <c r="X408" s="17"/>
      <c r="Y408" s="8"/>
      <c r="Z408" s="17">
        <v>45077</v>
      </c>
      <c r="AA408" s="9"/>
      <c r="AB408" s="8"/>
      <c r="AC408" s="8"/>
      <c r="AD408" s="8"/>
      <c r="AE408" s="16"/>
      <c r="AF408" s="8"/>
    </row>
    <row r="409" spans="1:32" ht="30">
      <c r="A409" s="8">
        <v>405</v>
      </c>
      <c r="B409" s="55"/>
      <c r="C409" s="8" t="s">
        <v>488</v>
      </c>
      <c r="D409" s="8" t="s">
        <v>241</v>
      </c>
      <c r="E409" s="8" t="s">
        <v>42</v>
      </c>
      <c r="F409" s="9" t="s">
        <v>66</v>
      </c>
      <c r="G409" s="9" t="s">
        <v>66</v>
      </c>
      <c r="H409" s="26" t="s">
        <v>240</v>
      </c>
      <c r="I409" s="8" t="s">
        <v>241</v>
      </c>
      <c r="J409" s="9">
        <v>45021</v>
      </c>
      <c r="K409" s="58"/>
      <c r="L409" s="16" t="s">
        <v>317</v>
      </c>
      <c r="M409" s="9">
        <f t="shared" si="131"/>
        <v>45031</v>
      </c>
      <c r="N409" s="8"/>
      <c r="O409" s="8" t="s">
        <v>47</v>
      </c>
      <c r="P409" s="9">
        <f t="shared" si="132"/>
        <v>45027</v>
      </c>
      <c r="Q409" s="8"/>
      <c r="R409" s="9">
        <f t="shared" si="133"/>
        <v>45030</v>
      </c>
      <c r="S409" s="8"/>
      <c r="T409" s="9">
        <f t="shared" si="134"/>
        <v>45033</v>
      </c>
      <c r="U409" s="8"/>
      <c r="V409" s="8"/>
      <c r="W409" s="17">
        <v>45073</v>
      </c>
      <c r="X409" s="17"/>
      <c r="Y409" s="8"/>
      <c r="Z409" s="17">
        <v>45077</v>
      </c>
      <c r="AA409" s="9"/>
      <c r="AB409" s="8"/>
      <c r="AC409" s="8"/>
      <c r="AD409" s="8"/>
      <c r="AE409" s="16"/>
      <c r="AF409" s="8"/>
    </row>
    <row r="410" spans="1:32" ht="30">
      <c r="A410" s="8">
        <v>406</v>
      </c>
      <c r="B410" s="55"/>
      <c r="C410" s="8" t="s">
        <v>489</v>
      </c>
      <c r="D410" s="8" t="s">
        <v>241</v>
      </c>
      <c r="E410" s="8" t="s">
        <v>42</v>
      </c>
      <c r="F410" s="9" t="s">
        <v>66</v>
      </c>
      <c r="G410" s="9" t="s">
        <v>66</v>
      </c>
      <c r="H410" s="26" t="s">
        <v>240</v>
      </c>
      <c r="I410" s="8" t="s">
        <v>241</v>
      </c>
      <c r="J410" s="9">
        <v>45021</v>
      </c>
      <c r="K410" s="58"/>
      <c r="L410" s="16" t="s">
        <v>317</v>
      </c>
      <c r="M410" s="9">
        <f t="shared" si="131"/>
        <v>45031</v>
      </c>
      <c r="N410" s="8"/>
      <c r="O410" s="8" t="s">
        <v>47</v>
      </c>
      <c r="P410" s="9">
        <f t="shared" si="132"/>
        <v>45027</v>
      </c>
      <c r="Q410" s="8"/>
      <c r="R410" s="9">
        <f t="shared" si="133"/>
        <v>45030</v>
      </c>
      <c r="S410" s="8"/>
      <c r="T410" s="9">
        <f t="shared" si="134"/>
        <v>45033</v>
      </c>
      <c r="U410" s="8"/>
      <c r="V410" s="8"/>
      <c r="W410" s="17">
        <v>45073</v>
      </c>
      <c r="X410" s="17"/>
      <c r="Y410" s="8"/>
      <c r="Z410" s="17">
        <v>45077</v>
      </c>
      <c r="AA410" s="9"/>
      <c r="AB410" s="8"/>
      <c r="AC410" s="8"/>
      <c r="AD410" s="8"/>
      <c r="AE410" s="16"/>
      <c r="AF410" s="8"/>
    </row>
    <row r="411" spans="1:32" ht="30">
      <c r="A411" s="8">
        <v>407</v>
      </c>
      <c r="B411" s="55"/>
      <c r="C411" s="8" t="s">
        <v>490</v>
      </c>
      <c r="D411" s="8" t="s">
        <v>241</v>
      </c>
      <c r="E411" s="8" t="s">
        <v>42</v>
      </c>
      <c r="F411" s="9" t="s">
        <v>66</v>
      </c>
      <c r="G411" s="9" t="s">
        <v>66</v>
      </c>
      <c r="H411" s="26" t="s">
        <v>240</v>
      </c>
      <c r="I411" s="8" t="s">
        <v>241</v>
      </c>
      <c r="J411" s="9">
        <v>45046</v>
      </c>
      <c r="K411" s="58" t="s">
        <v>491</v>
      </c>
      <c r="L411" s="16" t="s">
        <v>317</v>
      </c>
      <c r="M411" s="9">
        <f t="shared" si="131"/>
        <v>45056</v>
      </c>
      <c r="N411" s="8"/>
      <c r="O411" s="8" t="s">
        <v>47</v>
      </c>
      <c r="P411" s="9">
        <f t="shared" si="132"/>
        <v>45052</v>
      </c>
      <c r="Q411" s="8"/>
      <c r="R411" s="9">
        <f t="shared" si="133"/>
        <v>45055</v>
      </c>
      <c r="S411" s="8"/>
      <c r="T411" s="9">
        <f t="shared" si="134"/>
        <v>45058</v>
      </c>
      <c r="U411" s="8"/>
      <c r="V411" s="8"/>
      <c r="W411" s="17">
        <v>45073</v>
      </c>
      <c r="X411" s="17"/>
      <c r="Y411" s="8"/>
      <c r="Z411" s="17">
        <v>45077</v>
      </c>
      <c r="AA411" s="9"/>
      <c r="AB411" s="8"/>
      <c r="AC411" s="8"/>
      <c r="AD411" s="8"/>
      <c r="AE411" s="16"/>
      <c r="AF411" s="8"/>
    </row>
    <row r="412" spans="1:32" ht="30">
      <c r="A412" s="8">
        <v>408</v>
      </c>
      <c r="B412" s="55"/>
      <c r="C412" s="8" t="s">
        <v>492</v>
      </c>
      <c r="D412" s="8" t="s">
        <v>241</v>
      </c>
      <c r="E412" s="8" t="s">
        <v>42</v>
      </c>
      <c r="F412" s="9" t="s">
        <v>66</v>
      </c>
      <c r="G412" s="9" t="s">
        <v>66</v>
      </c>
      <c r="H412" s="26" t="s">
        <v>240</v>
      </c>
      <c r="I412" s="8" t="s">
        <v>241</v>
      </c>
      <c r="J412" s="9">
        <v>45046</v>
      </c>
      <c r="K412" s="58"/>
      <c r="L412" s="16" t="s">
        <v>317</v>
      </c>
      <c r="M412" s="9">
        <f t="shared" si="131"/>
        <v>45056</v>
      </c>
      <c r="N412" s="8"/>
      <c r="O412" s="8" t="s">
        <v>47</v>
      </c>
      <c r="P412" s="9">
        <f t="shared" si="132"/>
        <v>45052</v>
      </c>
      <c r="Q412" s="8"/>
      <c r="R412" s="9">
        <f t="shared" si="133"/>
        <v>45055</v>
      </c>
      <c r="S412" s="8"/>
      <c r="T412" s="9">
        <f t="shared" si="134"/>
        <v>45058</v>
      </c>
      <c r="U412" s="8"/>
      <c r="V412" s="8"/>
      <c r="W412" s="17">
        <v>45073</v>
      </c>
      <c r="X412" s="17"/>
      <c r="Y412" s="8"/>
      <c r="Z412" s="17">
        <v>45077</v>
      </c>
      <c r="AA412" s="9"/>
      <c r="AB412" s="8"/>
      <c r="AC412" s="8"/>
      <c r="AD412" s="8"/>
      <c r="AE412" s="16"/>
      <c r="AF412" s="8"/>
    </row>
    <row r="413" spans="1:32" ht="30">
      <c r="A413" s="8">
        <v>409</v>
      </c>
      <c r="B413" s="55"/>
      <c r="C413" s="8" t="s">
        <v>493</v>
      </c>
      <c r="D413" s="8" t="s">
        <v>241</v>
      </c>
      <c r="E413" s="8" t="s">
        <v>42</v>
      </c>
      <c r="F413" s="9" t="s">
        <v>66</v>
      </c>
      <c r="G413" s="9" t="s">
        <v>66</v>
      </c>
      <c r="H413" s="26" t="s">
        <v>240</v>
      </c>
      <c r="I413" s="8" t="s">
        <v>241</v>
      </c>
      <c r="J413" s="9">
        <v>45046</v>
      </c>
      <c r="K413" s="58"/>
      <c r="L413" s="16" t="s">
        <v>317</v>
      </c>
      <c r="M413" s="9">
        <f t="shared" si="131"/>
        <v>45056</v>
      </c>
      <c r="N413" s="8"/>
      <c r="O413" s="8" t="s">
        <v>47</v>
      </c>
      <c r="P413" s="9">
        <f t="shared" si="132"/>
        <v>45052</v>
      </c>
      <c r="Q413" s="8"/>
      <c r="R413" s="9">
        <f t="shared" si="133"/>
        <v>45055</v>
      </c>
      <c r="S413" s="8"/>
      <c r="T413" s="9">
        <f t="shared" si="134"/>
        <v>45058</v>
      </c>
      <c r="U413" s="8"/>
      <c r="V413" s="8"/>
      <c r="W413" s="17">
        <v>45073</v>
      </c>
      <c r="X413" s="17"/>
      <c r="Y413" s="8"/>
      <c r="Z413" s="17">
        <v>45077</v>
      </c>
      <c r="AA413" s="9"/>
      <c r="AB413" s="8"/>
      <c r="AC413" s="8"/>
      <c r="AD413" s="8"/>
      <c r="AE413" s="16"/>
      <c r="AF413" s="8"/>
    </row>
    <row r="414" spans="1:32" ht="30">
      <c r="A414" s="8">
        <v>410</v>
      </c>
      <c r="B414" s="55"/>
      <c r="C414" s="8" t="s">
        <v>494</v>
      </c>
      <c r="D414" s="8" t="s">
        <v>241</v>
      </c>
      <c r="E414" s="8" t="s">
        <v>42</v>
      </c>
      <c r="F414" s="9" t="s">
        <v>66</v>
      </c>
      <c r="G414" s="9" t="s">
        <v>66</v>
      </c>
      <c r="H414" s="26" t="s">
        <v>240</v>
      </c>
      <c r="I414" s="8" t="s">
        <v>241</v>
      </c>
      <c r="J414" s="9">
        <v>45046</v>
      </c>
      <c r="K414" s="58"/>
      <c r="L414" s="16" t="s">
        <v>317</v>
      </c>
      <c r="M414" s="9">
        <f t="shared" si="131"/>
        <v>45056</v>
      </c>
      <c r="N414" s="8"/>
      <c r="O414" s="8" t="s">
        <v>47</v>
      </c>
      <c r="P414" s="9">
        <f t="shared" si="132"/>
        <v>45052</v>
      </c>
      <c r="Q414" s="8"/>
      <c r="R414" s="9">
        <f t="shared" si="133"/>
        <v>45055</v>
      </c>
      <c r="S414" s="8"/>
      <c r="T414" s="9">
        <f t="shared" si="134"/>
        <v>45058</v>
      </c>
      <c r="U414" s="8"/>
      <c r="V414" s="8"/>
      <c r="W414" s="17">
        <v>45073</v>
      </c>
      <c r="X414" s="17"/>
      <c r="Y414" s="8"/>
      <c r="Z414" s="17">
        <v>45077</v>
      </c>
      <c r="AA414" s="9"/>
      <c r="AB414" s="8"/>
      <c r="AC414" s="8"/>
      <c r="AD414" s="8"/>
      <c r="AE414" s="16"/>
      <c r="AF414" s="8"/>
    </row>
    <row r="415" spans="1:32" ht="30">
      <c r="A415" s="8">
        <v>411</v>
      </c>
      <c r="B415" s="55"/>
      <c r="C415" s="8" t="s">
        <v>495</v>
      </c>
      <c r="D415" s="8" t="s">
        <v>241</v>
      </c>
      <c r="E415" s="8" t="s">
        <v>42</v>
      </c>
      <c r="F415" s="9" t="s">
        <v>66</v>
      </c>
      <c r="G415" s="9" t="s">
        <v>66</v>
      </c>
      <c r="H415" s="26" t="s">
        <v>240</v>
      </c>
      <c r="I415" s="8" t="s">
        <v>241</v>
      </c>
      <c r="J415" s="9">
        <v>45046</v>
      </c>
      <c r="K415" s="58"/>
      <c r="L415" s="16" t="s">
        <v>317</v>
      </c>
      <c r="M415" s="9">
        <f t="shared" si="131"/>
        <v>45056</v>
      </c>
      <c r="N415" s="8"/>
      <c r="O415" s="8" t="s">
        <v>47</v>
      </c>
      <c r="P415" s="9">
        <f t="shared" si="132"/>
        <v>45052</v>
      </c>
      <c r="Q415" s="8"/>
      <c r="R415" s="9">
        <f t="shared" si="133"/>
        <v>45055</v>
      </c>
      <c r="S415" s="8"/>
      <c r="T415" s="9">
        <f t="shared" si="134"/>
        <v>45058</v>
      </c>
      <c r="U415" s="8"/>
      <c r="V415" s="8"/>
      <c r="W415" s="17">
        <v>45073</v>
      </c>
      <c r="X415" s="17"/>
      <c r="Y415" s="8"/>
      <c r="Z415" s="17">
        <v>45077</v>
      </c>
      <c r="AA415" s="9"/>
      <c r="AB415" s="8"/>
      <c r="AC415" s="8"/>
      <c r="AD415" s="8"/>
      <c r="AE415" s="16"/>
      <c r="AF415" s="8"/>
    </row>
    <row r="416" spans="1:32" ht="30">
      <c r="A416" s="8">
        <v>412</v>
      </c>
      <c r="B416" s="55"/>
      <c r="C416" s="8" t="s">
        <v>496</v>
      </c>
      <c r="D416" s="8" t="s">
        <v>241</v>
      </c>
      <c r="E416" s="8" t="s">
        <v>42</v>
      </c>
      <c r="F416" s="9" t="s">
        <v>66</v>
      </c>
      <c r="G416" s="9" t="s">
        <v>66</v>
      </c>
      <c r="H416" s="26" t="s">
        <v>240</v>
      </c>
      <c r="I416" s="8" t="s">
        <v>241</v>
      </c>
      <c r="J416" s="9">
        <v>45046</v>
      </c>
      <c r="K416" s="58"/>
      <c r="L416" s="16" t="s">
        <v>317</v>
      </c>
      <c r="M416" s="9">
        <f t="shared" si="131"/>
        <v>45056</v>
      </c>
      <c r="N416" s="8"/>
      <c r="O416" s="8" t="s">
        <v>47</v>
      </c>
      <c r="P416" s="9">
        <f t="shared" si="132"/>
        <v>45052</v>
      </c>
      <c r="Q416" s="8"/>
      <c r="R416" s="9">
        <f t="shared" si="133"/>
        <v>45055</v>
      </c>
      <c r="S416" s="8"/>
      <c r="T416" s="9">
        <f t="shared" si="134"/>
        <v>45058</v>
      </c>
      <c r="U416" s="8"/>
      <c r="V416" s="8"/>
      <c r="W416" s="17">
        <v>45073</v>
      </c>
      <c r="X416" s="17"/>
      <c r="Y416" s="8"/>
      <c r="Z416" s="17">
        <v>45077</v>
      </c>
      <c r="AA416" s="9"/>
      <c r="AB416" s="8"/>
      <c r="AC416" s="8"/>
      <c r="AD416" s="8"/>
      <c r="AE416" s="16"/>
      <c r="AF416" s="8"/>
    </row>
    <row r="417" spans="1:32" ht="30">
      <c r="A417" s="8">
        <v>413</v>
      </c>
      <c r="B417" s="55"/>
      <c r="C417" s="8" t="s">
        <v>497</v>
      </c>
      <c r="D417" s="8" t="s">
        <v>241</v>
      </c>
      <c r="E417" s="8" t="s">
        <v>42</v>
      </c>
      <c r="F417" s="9" t="s">
        <v>66</v>
      </c>
      <c r="G417" s="9" t="s">
        <v>66</v>
      </c>
      <c r="H417" s="26" t="s">
        <v>240</v>
      </c>
      <c r="I417" s="8" t="s">
        <v>241</v>
      </c>
      <c r="J417" s="9">
        <v>45046</v>
      </c>
      <c r="K417" s="58"/>
      <c r="L417" s="16" t="s">
        <v>317</v>
      </c>
      <c r="M417" s="9">
        <f t="shared" si="131"/>
        <v>45056</v>
      </c>
      <c r="N417" s="8"/>
      <c r="O417" s="8" t="s">
        <v>47</v>
      </c>
      <c r="P417" s="9">
        <f t="shared" si="132"/>
        <v>45052</v>
      </c>
      <c r="Q417" s="8"/>
      <c r="R417" s="9">
        <f t="shared" si="133"/>
        <v>45055</v>
      </c>
      <c r="S417" s="8"/>
      <c r="T417" s="9">
        <f t="shared" si="134"/>
        <v>45058</v>
      </c>
      <c r="U417" s="8"/>
      <c r="V417" s="8"/>
      <c r="W417" s="17">
        <v>45073</v>
      </c>
      <c r="X417" s="17"/>
      <c r="Y417" s="8"/>
      <c r="Z417" s="17">
        <v>45077</v>
      </c>
      <c r="AA417" s="9"/>
      <c r="AB417" s="8"/>
      <c r="AC417" s="8"/>
      <c r="AD417" s="8"/>
      <c r="AE417" s="16"/>
      <c r="AF417" s="8"/>
    </row>
    <row r="418" spans="1:32" ht="30">
      <c r="A418" s="8">
        <v>414</v>
      </c>
      <c r="B418" s="55"/>
      <c r="C418" s="8" t="s">
        <v>498</v>
      </c>
      <c r="D418" s="8" t="s">
        <v>241</v>
      </c>
      <c r="E418" s="8" t="s">
        <v>42</v>
      </c>
      <c r="F418" s="9" t="s">
        <v>66</v>
      </c>
      <c r="G418" s="9" t="s">
        <v>66</v>
      </c>
      <c r="H418" s="26" t="s">
        <v>240</v>
      </c>
      <c r="I418" s="8" t="s">
        <v>241</v>
      </c>
      <c r="J418" s="9">
        <v>45046</v>
      </c>
      <c r="K418" s="58"/>
      <c r="L418" s="16" t="s">
        <v>317</v>
      </c>
      <c r="M418" s="9">
        <f t="shared" si="131"/>
        <v>45056</v>
      </c>
      <c r="N418" s="8"/>
      <c r="O418" s="8" t="s">
        <v>47</v>
      </c>
      <c r="P418" s="9">
        <f t="shared" si="132"/>
        <v>45052</v>
      </c>
      <c r="Q418" s="8"/>
      <c r="R418" s="9">
        <f t="shared" si="133"/>
        <v>45055</v>
      </c>
      <c r="S418" s="8"/>
      <c r="T418" s="9">
        <f t="shared" si="134"/>
        <v>45058</v>
      </c>
      <c r="U418" s="8"/>
      <c r="V418" s="8"/>
      <c r="W418" s="17">
        <v>45073</v>
      </c>
      <c r="X418" s="17"/>
      <c r="Y418" s="8"/>
      <c r="Z418" s="17">
        <v>45077</v>
      </c>
      <c r="AA418" s="9"/>
      <c r="AB418" s="8"/>
      <c r="AC418" s="8"/>
      <c r="AD418" s="8"/>
      <c r="AE418" s="16"/>
      <c r="AF418" s="8"/>
    </row>
    <row r="419" spans="1:32" ht="30">
      <c r="A419" s="8">
        <v>415</v>
      </c>
      <c r="B419" s="55"/>
      <c r="C419" s="8" t="s">
        <v>499</v>
      </c>
      <c r="D419" s="8" t="s">
        <v>241</v>
      </c>
      <c r="E419" s="8" t="s">
        <v>42</v>
      </c>
      <c r="F419" s="9" t="s">
        <v>66</v>
      </c>
      <c r="G419" s="9" t="s">
        <v>66</v>
      </c>
      <c r="H419" s="26" t="s">
        <v>240</v>
      </c>
      <c r="I419" s="8" t="s">
        <v>241</v>
      </c>
      <c r="J419" s="9">
        <v>45046</v>
      </c>
      <c r="K419" s="58"/>
      <c r="L419" s="16" t="s">
        <v>317</v>
      </c>
      <c r="M419" s="9">
        <f t="shared" si="131"/>
        <v>45056</v>
      </c>
      <c r="N419" s="8"/>
      <c r="O419" s="8" t="s">
        <v>47</v>
      </c>
      <c r="P419" s="9">
        <f t="shared" si="132"/>
        <v>45052</v>
      </c>
      <c r="Q419" s="8"/>
      <c r="R419" s="9">
        <f t="shared" si="133"/>
        <v>45055</v>
      </c>
      <c r="S419" s="8"/>
      <c r="T419" s="9">
        <f t="shared" si="134"/>
        <v>45058</v>
      </c>
      <c r="U419" s="8"/>
      <c r="V419" s="8"/>
      <c r="W419" s="17">
        <v>45073</v>
      </c>
      <c r="X419" s="17"/>
      <c r="Y419" s="8"/>
      <c r="Z419" s="17">
        <v>45077</v>
      </c>
      <c r="AA419" s="9"/>
      <c r="AB419" s="8"/>
      <c r="AC419" s="8"/>
      <c r="AD419" s="8"/>
      <c r="AE419" s="16"/>
      <c r="AF419" s="8"/>
    </row>
    <row r="420" spans="1:32" ht="15" hidden="1">
      <c r="A420" s="8">
        <v>416</v>
      </c>
      <c r="B420" s="55"/>
      <c r="C420" s="24" t="s">
        <v>500</v>
      </c>
      <c r="D420" s="8"/>
      <c r="E420" s="8"/>
      <c r="F420" s="9"/>
      <c r="G420" s="9"/>
      <c r="H420" s="26"/>
      <c r="I420" s="8"/>
      <c r="J420" s="9"/>
      <c r="K420" s="15"/>
      <c r="L420" s="16"/>
      <c r="M420" s="9"/>
      <c r="N420" s="8"/>
      <c r="O420" s="8"/>
      <c r="P420" s="9"/>
      <c r="Q420" s="8"/>
      <c r="R420" s="9"/>
      <c r="S420" s="8"/>
      <c r="T420" s="9"/>
      <c r="U420" s="8"/>
      <c r="V420" s="8"/>
      <c r="W420" s="17"/>
      <c r="X420" s="17"/>
      <c r="Y420" s="8"/>
      <c r="Z420" s="17"/>
      <c r="AA420" s="9"/>
      <c r="AB420" s="8"/>
      <c r="AC420" s="8"/>
      <c r="AD420" s="8"/>
      <c r="AE420" s="16"/>
      <c r="AF420" s="8"/>
    </row>
    <row r="421" spans="1:32" ht="30">
      <c r="A421" s="8">
        <v>417</v>
      </c>
      <c r="B421" s="55"/>
      <c r="C421" s="8" t="s">
        <v>501</v>
      </c>
      <c r="D421" s="8" t="s">
        <v>241</v>
      </c>
      <c r="E421" s="8" t="s">
        <v>42</v>
      </c>
      <c r="F421" s="9" t="s">
        <v>66</v>
      </c>
      <c r="G421" s="9" t="s">
        <v>66</v>
      </c>
      <c r="H421" s="26" t="s">
        <v>240</v>
      </c>
      <c r="I421" s="8" t="s">
        <v>241</v>
      </c>
      <c r="J421" s="9">
        <v>45021</v>
      </c>
      <c r="K421" s="15" t="s">
        <v>264</v>
      </c>
      <c r="L421" s="16" t="s">
        <v>317</v>
      </c>
      <c r="M421" s="9">
        <f t="shared" ref="M421:M423" si="135">J421+10</f>
        <v>45031</v>
      </c>
      <c r="N421" s="8"/>
      <c r="O421" s="8" t="s">
        <v>47</v>
      </c>
      <c r="P421" s="9">
        <f t="shared" ref="P421:P423" si="136">J421+6</f>
        <v>45027</v>
      </c>
      <c r="Q421" s="8"/>
      <c r="R421" s="9">
        <f t="shared" ref="R421:R423" si="137">J421+9</f>
        <v>45030</v>
      </c>
      <c r="S421" s="8"/>
      <c r="T421" s="9">
        <f t="shared" ref="T421:T423" si="138">J421+12</f>
        <v>45033</v>
      </c>
      <c r="U421" s="8"/>
      <c r="V421" s="8"/>
      <c r="W421" s="17">
        <v>45073</v>
      </c>
      <c r="X421" s="17"/>
      <c r="Y421" s="8"/>
      <c r="Z421" s="17">
        <v>45077</v>
      </c>
      <c r="AA421" s="9"/>
      <c r="AB421" s="8"/>
      <c r="AC421" s="8"/>
      <c r="AD421" s="8"/>
      <c r="AE421" s="16"/>
      <c r="AF421" s="8"/>
    </row>
    <row r="422" spans="1:32" ht="30">
      <c r="A422" s="8">
        <v>418</v>
      </c>
      <c r="B422" s="55"/>
      <c r="C422" s="59" t="s">
        <v>502</v>
      </c>
      <c r="D422" s="59" t="s">
        <v>241</v>
      </c>
      <c r="E422" s="59" t="s">
        <v>42</v>
      </c>
      <c r="F422" s="60" t="s">
        <v>66</v>
      </c>
      <c r="G422" s="60" t="s">
        <v>66</v>
      </c>
      <c r="H422" s="61" t="s">
        <v>240</v>
      </c>
      <c r="I422" s="59" t="s">
        <v>241</v>
      </c>
      <c r="J422" s="60" t="s">
        <v>730</v>
      </c>
      <c r="K422" s="15" t="s">
        <v>731</v>
      </c>
      <c r="L422" s="16" t="s">
        <v>317</v>
      </c>
      <c r="M422" s="9" t="e">
        <f t="shared" si="135"/>
        <v>#VALUE!</v>
      </c>
      <c r="N422" s="8"/>
      <c r="O422" s="8" t="s">
        <v>47</v>
      </c>
      <c r="P422" s="9" t="e">
        <f t="shared" si="136"/>
        <v>#VALUE!</v>
      </c>
      <c r="Q422" s="8"/>
      <c r="R422" s="9" t="e">
        <f t="shared" si="137"/>
        <v>#VALUE!</v>
      </c>
      <c r="S422" s="8"/>
      <c r="T422" s="9" t="e">
        <f t="shared" si="138"/>
        <v>#VALUE!</v>
      </c>
      <c r="U422" s="8"/>
      <c r="V422" s="8"/>
      <c r="W422" s="17">
        <v>45073</v>
      </c>
      <c r="X422" s="17"/>
      <c r="Y422" s="8"/>
      <c r="Z422" s="17">
        <v>45077</v>
      </c>
      <c r="AA422" s="9"/>
      <c r="AB422" s="8"/>
      <c r="AC422" s="8"/>
      <c r="AD422" s="8"/>
      <c r="AE422" s="16"/>
      <c r="AF422" s="8"/>
    </row>
    <row r="423" spans="1:32" ht="30">
      <c r="A423" s="8">
        <v>419</v>
      </c>
      <c r="B423" s="55"/>
      <c r="C423" s="8" t="s">
        <v>503</v>
      </c>
      <c r="D423" s="8" t="s">
        <v>241</v>
      </c>
      <c r="E423" s="8" t="s">
        <v>42</v>
      </c>
      <c r="F423" s="9" t="s">
        <v>66</v>
      </c>
      <c r="G423" s="9" t="s">
        <v>66</v>
      </c>
      <c r="H423" s="26" t="s">
        <v>240</v>
      </c>
      <c r="I423" s="8" t="s">
        <v>241</v>
      </c>
      <c r="J423" s="9">
        <v>45061</v>
      </c>
      <c r="K423" s="15" t="s">
        <v>504</v>
      </c>
      <c r="L423" s="16" t="s">
        <v>317</v>
      </c>
      <c r="M423" s="9">
        <f t="shared" si="135"/>
        <v>45071</v>
      </c>
      <c r="N423" s="8"/>
      <c r="O423" s="8" t="s">
        <v>47</v>
      </c>
      <c r="P423" s="9">
        <f t="shared" si="136"/>
        <v>45067</v>
      </c>
      <c r="Q423" s="8"/>
      <c r="R423" s="9">
        <f t="shared" si="137"/>
        <v>45070</v>
      </c>
      <c r="S423" s="8"/>
      <c r="T423" s="9">
        <f t="shared" si="138"/>
        <v>45073</v>
      </c>
      <c r="U423" s="8"/>
      <c r="V423" s="8"/>
      <c r="W423" s="17">
        <v>45073</v>
      </c>
      <c r="X423" s="17"/>
      <c r="Y423" s="8"/>
      <c r="Z423" s="17">
        <v>45077</v>
      </c>
      <c r="AA423" s="9"/>
      <c r="AB423" s="8"/>
      <c r="AC423" s="8"/>
      <c r="AD423" s="8"/>
      <c r="AE423" s="16"/>
      <c r="AF423" s="8"/>
    </row>
    <row r="424" spans="1:32" ht="15" hidden="1">
      <c r="A424" s="8">
        <v>420</v>
      </c>
      <c r="B424" s="55" t="s">
        <v>505</v>
      </c>
      <c r="C424" s="24" t="s">
        <v>506</v>
      </c>
      <c r="D424" s="8"/>
      <c r="E424" s="8"/>
      <c r="F424" s="9"/>
      <c r="G424" s="9"/>
      <c r="H424" s="26"/>
      <c r="I424" s="8"/>
      <c r="J424" s="9"/>
      <c r="K424" s="15"/>
      <c r="L424" s="16"/>
      <c r="M424" s="9"/>
      <c r="N424" s="8"/>
      <c r="O424" s="8"/>
      <c r="P424" s="9"/>
      <c r="Q424" s="8"/>
      <c r="R424" s="9"/>
      <c r="S424" s="8"/>
      <c r="T424" s="9"/>
      <c r="U424" s="8"/>
      <c r="V424" s="8"/>
      <c r="W424" s="17"/>
      <c r="X424" s="17"/>
      <c r="Y424" s="8"/>
      <c r="Z424" s="17"/>
      <c r="AA424" s="9"/>
      <c r="AB424" s="8"/>
      <c r="AC424" s="8"/>
      <c r="AD424" s="8"/>
      <c r="AE424" s="16"/>
      <c r="AF424" s="8"/>
    </row>
    <row r="425" spans="1:32" ht="30">
      <c r="A425" s="8">
        <v>421</v>
      </c>
      <c r="B425" s="55"/>
      <c r="C425" s="8" t="s">
        <v>507</v>
      </c>
      <c r="D425" s="8" t="s">
        <v>508</v>
      </c>
      <c r="E425" s="8" t="s">
        <v>42</v>
      </c>
      <c r="F425" s="9" t="s">
        <v>66</v>
      </c>
      <c r="G425" s="9" t="s">
        <v>66</v>
      </c>
      <c r="H425" s="26" t="s">
        <v>240</v>
      </c>
      <c r="I425" s="8" t="s">
        <v>241</v>
      </c>
      <c r="J425" s="9">
        <v>45046</v>
      </c>
      <c r="K425" s="58" t="s">
        <v>509</v>
      </c>
      <c r="L425" s="16" t="s">
        <v>317</v>
      </c>
      <c r="M425" s="9">
        <f t="shared" ref="M425:M430" si="139">J425+10</f>
        <v>45056</v>
      </c>
      <c r="N425" s="8"/>
      <c r="O425" s="8" t="s">
        <v>47</v>
      </c>
      <c r="P425" s="9">
        <f t="shared" ref="P425:P430" si="140">J425+6</f>
        <v>45052</v>
      </c>
      <c r="Q425" s="8"/>
      <c r="R425" s="9">
        <f t="shared" ref="R425:R430" si="141">J425+9</f>
        <v>45055</v>
      </c>
      <c r="S425" s="8"/>
      <c r="T425" s="9">
        <f t="shared" ref="T425:T430" si="142">J425+12</f>
        <v>45058</v>
      </c>
      <c r="U425" s="8"/>
      <c r="V425" s="8"/>
      <c r="W425" s="17">
        <v>45073</v>
      </c>
      <c r="X425" s="17"/>
      <c r="Y425" s="8"/>
      <c r="Z425" s="17">
        <v>45077</v>
      </c>
      <c r="AA425" s="9"/>
      <c r="AB425" s="8"/>
      <c r="AC425" s="8"/>
      <c r="AD425" s="8"/>
      <c r="AE425" s="16"/>
      <c r="AF425" s="8"/>
    </row>
    <row r="426" spans="1:32" ht="30">
      <c r="A426" s="8">
        <v>422</v>
      </c>
      <c r="B426" s="55"/>
      <c r="C426" s="8" t="s">
        <v>510</v>
      </c>
      <c r="D426" s="8" t="s">
        <v>508</v>
      </c>
      <c r="E426" s="8" t="s">
        <v>42</v>
      </c>
      <c r="F426" s="9" t="s">
        <v>66</v>
      </c>
      <c r="G426" s="9" t="s">
        <v>66</v>
      </c>
      <c r="H426" s="26" t="s">
        <v>240</v>
      </c>
      <c r="I426" s="8" t="s">
        <v>241</v>
      </c>
      <c r="J426" s="9">
        <v>45046</v>
      </c>
      <c r="K426" s="58"/>
      <c r="L426" s="16" t="s">
        <v>317</v>
      </c>
      <c r="M426" s="9">
        <f t="shared" si="139"/>
        <v>45056</v>
      </c>
      <c r="N426" s="8"/>
      <c r="O426" s="8" t="s">
        <v>47</v>
      </c>
      <c r="P426" s="9">
        <f t="shared" si="140"/>
        <v>45052</v>
      </c>
      <c r="Q426" s="8"/>
      <c r="R426" s="9">
        <f t="shared" si="141"/>
        <v>45055</v>
      </c>
      <c r="S426" s="8"/>
      <c r="T426" s="9">
        <f t="shared" si="142"/>
        <v>45058</v>
      </c>
      <c r="U426" s="8"/>
      <c r="V426" s="8"/>
      <c r="W426" s="17">
        <v>45073</v>
      </c>
      <c r="X426" s="17"/>
      <c r="Y426" s="8"/>
      <c r="Z426" s="17">
        <v>45077</v>
      </c>
      <c r="AA426" s="9"/>
      <c r="AB426" s="8"/>
      <c r="AC426" s="8"/>
      <c r="AD426" s="8"/>
      <c r="AE426" s="16"/>
      <c r="AF426" s="8"/>
    </row>
    <row r="427" spans="1:32" ht="15" hidden="1">
      <c r="A427" s="8">
        <v>423</v>
      </c>
      <c r="B427" s="55"/>
      <c r="C427" s="24" t="s">
        <v>511</v>
      </c>
      <c r="D427" s="8"/>
      <c r="E427" s="8"/>
      <c r="F427" s="9"/>
      <c r="G427" s="9"/>
      <c r="H427" s="26"/>
      <c r="I427" s="8"/>
      <c r="J427" s="9"/>
      <c r="K427" s="15"/>
      <c r="L427" s="16"/>
      <c r="M427" s="9"/>
      <c r="N427" s="8"/>
      <c r="O427" s="8"/>
      <c r="P427" s="9"/>
      <c r="Q427" s="8"/>
      <c r="R427" s="9"/>
      <c r="S427" s="8"/>
      <c r="T427" s="9"/>
      <c r="U427" s="8"/>
      <c r="V427" s="8"/>
      <c r="W427" s="17"/>
      <c r="X427" s="17"/>
      <c r="Y427" s="8"/>
      <c r="Z427" s="17"/>
      <c r="AA427" s="9"/>
      <c r="AB427" s="8"/>
      <c r="AC427" s="8"/>
      <c r="AD427" s="8"/>
      <c r="AE427" s="16"/>
      <c r="AF427" s="8"/>
    </row>
    <row r="428" spans="1:32" ht="30">
      <c r="A428" s="8">
        <v>424</v>
      </c>
      <c r="B428" s="55"/>
      <c r="C428" s="8" t="s">
        <v>512</v>
      </c>
      <c r="D428" s="8" t="s">
        <v>508</v>
      </c>
      <c r="E428" s="8" t="s">
        <v>42</v>
      </c>
      <c r="F428" s="9" t="s">
        <v>66</v>
      </c>
      <c r="G428" s="9" t="s">
        <v>66</v>
      </c>
      <c r="H428" s="26" t="s">
        <v>240</v>
      </c>
      <c r="I428" s="8" t="s">
        <v>241</v>
      </c>
      <c r="J428" s="9">
        <v>45061</v>
      </c>
      <c r="K428" s="58" t="s">
        <v>284</v>
      </c>
      <c r="L428" s="16" t="s">
        <v>317</v>
      </c>
      <c r="M428" s="9">
        <f t="shared" si="139"/>
        <v>45071</v>
      </c>
      <c r="N428" s="8"/>
      <c r="O428" s="8" t="s">
        <v>47</v>
      </c>
      <c r="P428" s="9">
        <f t="shared" si="140"/>
        <v>45067</v>
      </c>
      <c r="Q428" s="8"/>
      <c r="R428" s="9">
        <f t="shared" si="141"/>
        <v>45070</v>
      </c>
      <c r="S428" s="8"/>
      <c r="T428" s="9">
        <f t="shared" si="142"/>
        <v>45073</v>
      </c>
      <c r="U428" s="8"/>
      <c r="V428" s="8"/>
      <c r="W428" s="17">
        <v>45073</v>
      </c>
      <c r="X428" s="17"/>
      <c r="Y428" s="8"/>
      <c r="Z428" s="17">
        <v>45077</v>
      </c>
      <c r="AA428" s="9"/>
      <c r="AB428" s="8"/>
      <c r="AC428" s="8"/>
      <c r="AD428" s="8"/>
      <c r="AE428" s="16"/>
      <c r="AF428" s="8"/>
    </row>
    <row r="429" spans="1:32" ht="30">
      <c r="A429" s="8">
        <v>425</v>
      </c>
      <c r="B429" s="55"/>
      <c r="C429" s="8" t="s">
        <v>513</v>
      </c>
      <c r="D429" s="8" t="s">
        <v>508</v>
      </c>
      <c r="E429" s="8" t="s">
        <v>42</v>
      </c>
      <c r="F429" s="9" t="s">
        <v>66</v>
      </c>
      <c r="G429" s="9" t="s">
        <v>66</v>
      </c>
      <c r="H429" s="26" t="s">
        <v>240</v>
      </c>
      <c r="I429" s="8" t="s">
        <v>241</v>
      </c>
      <c r="J429" s="9">
        <v>45061</v>
      </c>
      <c r="K429" s="58"/>
      <c r="L429" s="16" t="s">
        <v>317</v>
      </c>
      <c r="M429" s="9">
        <f t="shared" si="139"/>
        <v>45071</v>
      </c>
      <c r="N429" s="8"/>
      <c r="O429" s="8" t="s">
        <v>47</v>
      </c>
      <c r="P429" s="9">
        <f t="shared" si="140"/>
        <v>45067</v>
      </c>
      <c r="Q429" s="8"/>
      <c r="R429" s="9">
        <f t="shared" si="141"/>
        <v>45070</v>
      </c>
      <c r="S429" s="8"/>
      <c r="T429" s="9">
        <f t="shared" si="142"/>
        <v>45073</v>
      </c>
      <c r="U429" s="8"/>
      <c r="V429" s="8"/>
      <c r="W429" s="17">
        <v>45073</v>
      </c>
      <c r="X429" s="17"/>
      <c r="Y429" s="8"/>
      <c r="Z429" s="17">
        <v>45077</v>
      </c>
      <c r="AA429" s="9"/>
      <c r="AB429" s="8"/>
      <c r="AC429" s="8"/>
      <c r="AD429" s="8"/>
      <c r="AE429" s="16"/>
      <c r="AF429" s="8"/>
    </row>
    <row r="430" spans="1:32" ht="30">
      <c r="A430" s="8">
        <v>426</v>
      </c>
      <c r="B430" s="55"/>
      <c r="C430" s="8" t="s">
        <v>514</v>
      </c>
      <c r="D430" s="8" t="s">
        <v>508</v>
      </c>
      <c r="E430" s="8" t="s">
        <v>42</v>
      </c>
      <c r="F430" s="9" t="s">
        <v>66</v>
      </c>
      <c r="G430" s="9" t="s">
        <v>66</v>
      </c>
      <c r="H430" s="26" t="s">
        <v>240</v>
      </c>
      <c r="I430" s="8" t="s">
        <v>241</v>
      </c>
      <c r="J430" s="9">
        <v>45061</v>
      </c>
      <c r="K430" s="58"/>
      <c r="L430" s="16" t="s">
        <v>317</v>
      </c>
      <c r="M430" s="9">
        <f t="shared" si="139"/>
        <v>45071</v>
      </c>
      <c r="N430" s="8"/>
      <c r="O430" s="8" t="s">
        <v>47</v>
      </c>
      <c r="P430" s="9">
        <f t="shared" si="140"/>
        <v>45067</v>
      </c>
      <c r="Q430" s="8"/>
      <c r="R430" s="9">
        <f t="shared" si="141"/>
        <v>45070</v>
      </c>
      <c r="S430" s="8"/>
      <c r="T430" s="9">
        <f t="shared" si="142"/>
        <v>45073</v>
      </c>
      <c r="U430" s="8"/>
      <c r="V430" s="8"/>
      <c r="W430" s="17">
        <v>45073</v>
      </c>
      <c r="X430" s="17"/>
      <c r="Y430" s="8"/>
      <c r="Z430" s="17">
        <v>45077</v>
      </c>
      <c r="AA430" s="9"/>
      <c r="AB430" s="8"/>
      <c r="AC430" s="8"/>
      <c r="AD430" s="8"/>
      <c r="AE430" s="16"/>
      <c r="AF430" s="8"/>
    </row>
    <row r="431" spans="1:32" ht="15" hidden="1">
      <c r="A431" s="8">
        <v>427</v>
      </c>
      <c r="B431" s="55" t="s">
        <v>515</v>
      </c>
      <c r="C431" s="24" t="s">
        <v>506</v>
      </c>
      <c r="D431" s="8"/>
      <c r="E431" s="8"/>
      <c r="F431" s="9"/>
      <c r="G431" s="9"/>
      <c r="H431" s="26"/>
      <c r="I431" s="8"/>
      <c r="J431" s="9"/>
      <c r="K431" s="15"/>
      <c r="L431" s="16"/>
      <c r="M431" s="9"/>
      <c r="N431" s="8"/>
      <c r="O431" s="8"/>
      <c r="P431" s="9"/>
      <c r="Q431" s="8"/>
      <c r="R431" s="9"/>
      <c r="S431" s="8"/>
      <c r="T431" s="9"/>
      <c r="U431" s="8"/>
      <c r="V431" s="8"/>
      <c r="W431" s="17"/>
      <c r="X431" s="17"/>
      <c r="Y431" s="8"/>
      <c r="Z431" s="17"/>
      <c r="AA431" s="9"/>
      <c r="AB431" s="8"/>
      <c r="AC431" s="8"/>
      <c r="AD431" s="8"/>
      <c r="AE431" s="16"/>
      <c r="AF431" s="8"/>
    </row>
    <row r="432" spans="1:32" ht="30">
      <c r="A432" s="8">
        <v>428</v>
      </c>
      <c r="B432" s="55"/>
      <c r="C432" s="8" t="s">
        <v>516</v>
      </c>
      <c r="D432" s="8" t="s">
        <v>508</v>
      </c>
      <c r="E432" s="8" t="s">
        <v>42</v>
      </c>
      <c r="F432" s="9" t="s">
        <v>66</v>
      </c>
      <c r="G432" s="9" t="s">
        <v>66</v>
      </c>
      <c r="H432" s="26" t="s">
        <v>240</v>
      </c>
      <c r="I432" s="8" t="s">
        <v>241</v>
      </c>
      <c r="J432" s="9">
        <v>45046</v>
      </c>
      <c r="K432" s="15" t="s">
        <v>509</v>
      </c>
      <c r="L432" s="16" t="s">
        <v>317</v>
      </c>
      <c r="M432" s="9">
        <f t="shared" ref="M432:M437" si="143">J432+10</f>
        <v>45056</v>
      </c>
      <c r="N432" s="8"/>
      <c r="O432" s="8" t="s">
        <v>47</v>
      </c>
      <c r="P432" s="9">
        <f t="shared" ref="P432:P437" si="144">J432+6</f>
        <v>45052</v>
      </c>
      <c r="Q432" s="8"/>
      <c r="R432" s="9">
        <f t="shared" ref="R432:R437" si="145">J432+9</f>
        <v>45055</v>
      </c>
      <c r="S432" s="8"/>
      <c r="T432" s="9">
        <f t="shared" ref="T432:T437" si="146">J432+12</f>
        <v>45058</v>
      </c>
      <c r="U432" s="8"/>
      <c r="V432" s="8"/>
      <c r="W432" s="17">
        <v>45073</v>
      </c>
      <c r="X432" s="17"/>
      <c r="Y432" s="8"/>
      <c r="Z432" s="17">
        <v>45077</v>
      </c>
      <c r="AA432" s="9"/>
      <c r="AB432" s="8"/>
      <c r="AC432" s="8"/>
      <c r="AD432" s="8"/>
      <c r="AE432" s="16"/>
      <c r="AF432" s="8"/>
    </row>
    <row r="433" spans="1:32" ht="15" hidden="1">
      <c r="A433" s="8">
        <v>429</v>
      </c>
      <c r="B433" s="55"/>
      <c r="C433" s="24" t="s">
        <v>517</v>
      </c>
      <c r="D433" s="8"/>
      <c r="E433" s="8"/>
      <c r="F433" s="9"/>
      <c r="G433" s="9"/>
      <c r="H433" s="26"/>
      <c r="I433" s="8"/>
      <c r="J433" s="9"/>
      <c r="K433" s="15"/>
      <c r="L433" s="16"/>
      <c r="M433" s="9"/>
      <c r="N433" s="8"/>
      <c r="O433" s="8"/>
      <c r="P433" s="9"/>
      <c r="Q433" s="8"/>
      <c r="R433" s="9"/>
      <c r="S433" s="8"/>
      <c r="T433" s="9"/>
      <c r="U433" s="8"/>
      <c r="V433" s="8"/>
      <c r="W433" s="17"/>
      <c r="X433" s="17"/>
      <c r="Y433" s="8"/>
      <c r="Z433" s="17"/>
      <c r="AA433" s="9"/>
      <c r="AB433" s="8"/>
      <c r="AC433" s="8"/>
      <c r="AD433" s="8"/>
      <c r="AE433" s="16"/>
      <c r="AF433" s="8"/>
    </row>
    <row r="434" spans="1:32" ht="30">
      <c r="A434" s="8">
        <v>430</v>
      </c>
      <c r="B434" s="55"/>
      <c r="C434" s="8" t="s">
        <v>518</v>
      </c>
      <c r="D434" s="8" t="s">
        <v>508</v>
      </c>
      <c r="E434" s="8" t="s">
        <v>42</v>
      </c>
      <c r="F434" s="9" t="s">
        <v>66</v>
      </c>
      <c r="G434" s="9" t="s">
        <v>66</v>
      </c>
      <c r="H434" s="26" t="s">
        <v>240</v>
      </c>
      <c r="I434" s="8" t="s">
        <v>241</v>
      </c>
      <c r="J434" s="9">
        <v>45061</v>
      </c>
      <c r="K434" s="15" t="s">
        <v>519</v>
      </c>
      <c r="L434" s="16" t="s">
        <v>317</v>
      </c>
      <c r="M434" s="9">
        <f t="shared" si="143"/>
        <v>45071</v>
      </c>
      <c r="N434" s="8"/>
      <c r="O434" s="8" t="s">
        <v>47</v>
      </c>
      <c r="P434" s="9">
        <f t="shared" si="144"/>
        <v>45067</v>
      </c>
      <c r="Q434" s="8"/>
      <c r="R434" s="9">
        <f t="shared" si="145"/>
        <v>45070</v>
      </c>
      <c r="S434" s="8"/>
      <c r="T434" s="9">
        <f t="shared" si="146"/>
        <v>45073</v>
      </c>
      <c r="U434" s="8"/>
      <c r="V434" s="8"/>
      <c r="W434" s="17">
        <v>45073</v>
      </c>
      <c r="X434" s="17"/>
      <c r="Y434" s="8"/>
      <c r="Z434" s="17">
        <v>45077</v>
      </c>
      <c r="AA434" s="9"/>
      <c r="AB434" s="8"/>
      <c r="AC434" s="8"/>
      <c r="AD434" s="8"/>
      <c r="AE434" s="16"/>
      <c r="AF434" s="8"/>
    </row>
    <row r="435" spans="1:32" ht="30">
      <c r="A435" s="8">
        <v>431</v>
      </c>
      <c r="B435" s="55"/>
      <c r="C435" s="8" t="s">
        <v>520</v>
      </c>
      <c r="D435" s="8" t="s">
        <v>508</v>
      </c>
      <c r="E435" s="8" t="s">
        <v>42</v>
      </c>
      <c r="F435" s="9" t="s">
        <v>66</v>
      </c>
      <c r="G435" s="9" t="s">
        <v>66</v>
      </c>
      <c r="H435" s="26" t="s">
        <v>240</v>
      </c>
      <c r="I435" s="8" t="s">
        <v>241</v>
      </c>
      <c r="J435" s="9">
        <v>45061</v>
      </c>
      <c r="K435" s="15" t="s">
        <v>521</v>
      </c>
      <c r="L435" s="16" t="s">
        <v>317</v>
      </c>
      <c r="M435" s="9">
        <f t="shared" si="143"/>
        <v>45071</v>
      </c>
      <c r="N435" s="8"/>
      <c r="O435" s="8" t="s">
        <v>47</v>
      </c>
      <c r="P435" s="9">
        <f t="shared" si="144"/>
        <v>45067</v>
      </c>
      <c r="Q435" s="8"/>
      <c r="R435" s="9">
        <f t="shared" si="145"/>
        <v>45070</v>
      </c>
      <c r="S435" s="8"/>
      <c r="T435" s="9">
        <f t="shared" si="146"/>
        <v>45073</v>
      </c>
      <c r="U435" s="8"/>
      <c r="V435" s="8"/>
      <c r="W435" s="17">
        <v>45073</v>
      </c>
      <c r="X435" s="17"/>
      <c r="Y435" s="8"/>
      <c r="Z435" s="17">
        <v>45077</v>
      </c>
      <c r="AA435" s="9"/>
      <c r="AB435" s="8"/>
      <c r="AC435" s="8"/>
      <c r="AD435" s="8"/>
      <c r="AE435" s="16"/>
      <c r="AF435" s="8"/>
    </row>
    <row r="436" spans="1:32" ht="30">
      <c r="A436" s="8">
        <v>432</v>
      </c>
      <c r="B436" s="55"/>
      <c r="C436" s="8" t="s">
        <v>522</v>
      </c>
      <c r="D436" s="8" t="s">
        <v>508</v>
      </c>
      <c r="E436" s="8" t="s">
        <v>42</v>
      </c>
      <c r="F436" s="9" t="s">
        <v>66</v>
      </c>
      <c r="G436" s="9" t="s">
        <v>66</v>
      </c>
      <c r="H436" s="26" t="s">
        <v>240</v>
      </c>
      <c r="I436" s="8" t="s">
        <v>241</v>
      </c>
      <c r="J436" s="9">
        <v>45046</v>
      </c>
      <c r="K436" s="58" t="s">
        <v>523</v>
      </c>
      <c r="L436" s="16" t="s">
        <v>317</v>
      </c>
      <c r="M436" s="9">
        <f t="shared" si="143"/>
        <v>45056</v>
      </c>
      <c r="N436" s="8"/>
      <c r="O436" s="8" t="s">
        <v>47</v>
      </c>
      <c r="P436" s="9">
        <f t="shared" si="144"/>
        <v>45052</v>
      </c>
      <c r="Q436" s="8"/>
      <c r="R436" s="9">
        <f t="shared" si="145"/>
        <v>45055</v>
      </c>
      <c r="S436" s="8"/>
      <c r="T436" s="9">
        <f t="shared" si="146"/>
        <v>45058</v>
      </c>
      <c r="U436" s="8"/>
      <c r="V436" s="8"/>
      <c r="W436" s="17">
        <v>45073</v>
      </c>
      <c r="X436" s="17"/>
      <c r="Y436" s="8"/>
      <c r="Z436" s="17">
        <v>45077</v>
      </c>
      <c r="AA436" s="9"/>
      <c r="AB436" s="8"/>
      <c r="AC436" s="8"/>
      <c r="AD436" s="8"/>
      <c r="AE436" s="16"/>
      <c r="AF436" s="8"/>
    </row>
    <row r="437" spans="1:32" ht="30">
      <c r="A437" s="8">
        <v>433</v>
      </c>
      <c r="B437" s="55"/>
      <c r="C437" s="8" t="s">
        <v>524</v>
      </c>
      <c r="D437" s="8" t="s">
        <v>508</v>
      </c>
      <c r="E437" s="8" t="s">
        <v>42</v>
      </c>
      <c r="F437" s="9" t="s">
        <v>66</v>
      </c>
      <c r="G437" s="9" t="s">
        <v>66</v>
      </c>
      <c r="H437" s="26" t="s">
        <v>240</v>
      </c>
      <c r="I437" s="8" t="s">
        <v>241</v>
      </c>
      <c r="J437" s="9">
        <v>45046</v>
      </c>
      <c r="K437" s="58"/>
      <c r="L437" s="16" t="s">
        <v>317</v>
      </c>
      <c r="M437" s="9">
        <f t="shared" si="143"/>
        <v>45056</v>
      </c>
      <c r="N437" s="8"/>
      <c r="O437" s="8" t="s">
        <v>47</v>
      </c>
      <c r="P437" s="9">
        <f t="shared" si="144"/>
        <v>45052</v>
      </c>
      <c r="Q437" s="8"/>
      <c r="R437" s="9">
        <f t="shared" si="145"/>
        <v>45055</v>
      </c>
      <c r="S437" s="8"/>
      <c r="T437" s="9">
        <f t="shared" si="146"/>
        <v>45058</v>
      </c>
      <c r="U437" s="8"/>
      <c r="V437" s="8"/>
      <c r="W437" s="17">
        <v>45073</v>
      </c>
      <c r="X437" s="17"/>
      <c r="Y437" s="8"/>
      <c r="Z437" s="17">
        <v>45077</v>
      </c>
      <c r="AA437" s="9"/>
      <c r="AB437" s="8"/>
      <c r="AC437" s="8"/>
      <c r="AD437" s="8"/>
      <c r="AE437" s="16"/>
      <c r="AF437" s="8"/>
    </row>
    <row r="438" spans="1:32" ht="15" hidden="1">
      <c r="A438" s="8">
        <v>434</v>
      </c>
      <c r="B438" s="55" t="s">
        <v>525</v>
      </c>
      <c r="C438" s="24" t="s">
        <v>526</v>
      </c>
      <c r="D438" s="8"/>
      <c r="E438" s="8"/>
      <c r="F438" s="9"/>
      <c r="G438" s="9"/>
      <c r="H438" s="26"/>
      <c r="I438" s="8"/>
      <c r="J438" s="9"/>
      <c r="K438" s="15"/>
      <c r="L438" s="16"/>
      <c r="M438" s="9"/>
      <c r="N438" s="8"/>
      <c r="O438" s="8"/>
      <c r="P438" s="9"/>
      <c r="Q438" s="8"/>
      <c r="R438" s="9"/>
      <c r="S438" s="8"/>
      <c r="T438" s="9"/>
      <c r="U438" s="8"/>
      <c r="V438" s="8"/>
      <c r="W438" s="17"/>
      <c r="X438" s="17"/>
      <c r="Y438" s="8"/>
      <c r="Z438" s="17"/>
      <c r="AA438" s="9"/>
      <c r="AB438" s="8"/>
      <c r="AC438" s="8"/>
      <c r="AD438" s="8"/>
      <c r="AE438" s="16"/>
      <c r="AF438" s="8"/>
    </row>
    <row r="439" spans="1:32" ht="30">
      <c r="A439" s="8">
        <v>435</v>
      </c>
      <c r="B439" s="55"/>
      <c r="C439" s="8" t="s">
        <v>527</v>
      </c>
      <c r="D439" s="8" t="s">
        <v>508</v>
      </c>
      <c r="E439" s="8" t="s">
        <v>42</v>
      </c>
      <c r="F439" s="9" t="s">
        <v>66</v>
      </c>
      <c r="G439" s="9" t="s">
        <v>66</v>
      </c>
      <c r="H439" s="26" t="s">
        <v>240</v>
      </c>
      <c r="I439" s="8" t="s">
        <v>241</v>
      </c>
      <c r="J439" s="9">
        <v>45021</v>
      </c>
      <c r="K439" s="58" t="s">
        <v>528</v>
      </c>
      <c r="L439" s="16" t="s">
        <v>317</v>
      </c>
      <c r="M439" s="9">
        <f t="shared" ref="M439:M441" si="147">J439+10</f>
        <v>45031</v>
      </c>
      <c r="N439" s="8"/>
      <c r="O439" s="8" t="s">
        <v>47</v>
      </c>
      <c r="P439" s="9">
        <f t="shared" ref="P439:P441" si="148">J439+6</f>
        <v>45027</v>
      </c>
      <c r="Q439" s="8"/>
      <c r="R439" s="9">
        <f t="shared" ref="R439:R441" si="149">J439+9</f>
        <v>45030</v>
      </c>
      <c r="S439" s="8"/>
      <c r="T439" s="9">
        <f t="shared" ref="T439:T441" si="150">J439+12</f>
        <v>45033</v>
      </c>
      <c r="U439" s="8"/>
      <c r="V439" s="8"/>
      <c r="W439" s="17">
        <v>45073</v>
      </c>
      <c r="X439" s="17"/>
      <c r="Y439" s="8"/>
      <c r="Z439" s="17">
        <v>45077</v>
      </c>
      <c r="AA439" s="9"/>
      <c r="AB439" s="8"/>
      <c r="AC439" s="8"/>
      <c r="AD439" s="8"/>
      <c r="AE439" s="16"/>
      <c r="AF439" s="8"/>
    </row>
    <row r="440" spans="1:32" ht="30">
      <c r="A440" s="8">
        <v>436</v>
      </c>
      <c r="B440" s="55"/>
      <c r="C440" s="8" t="s">
        <v>529</v>
      </c>
      <c r="D440" s="8" t="s">
        <v>530</v>
      </c>
      <c r="E440" s="8" t="s">
        <v>42</v>
      </c>
      <c r="F440" s="9" t="s">
        <v>66</v>
      </c>
      <c r="G440" s="9" t="s">
        <v>66</v>
      </c>
      <c r="H440" s="26" t="s">
        <v>240</v>
      </c>
      <c r="I440" s="8" t="s">
        <v>241</v>
      </c>
      <c r="J440" s="9">
        <v>45021</v>
      </c>
      <c r="K440" s="58"/>
      <c r="L440" s="16" t="s">
        <v>317</v>
      </c>
      <c r="M440" s="9">
        <f t="shared" si="147"/>
        <v>45031</v>
      </c>
      <c r="N440" s="8"/>
      <c r="O440" s="8" t="s">
        <v>47</v>
      </c>
      <c r="P440" s="9">
        <f t="shared" si="148"/>
        <v>45027</v>
      </c>
      <c r="Q440" s="9"/>
      <c r="R440" s="9">
        <f t="shared" si="149"/>
        <v>45030</v>
      </c>
      <c r="S440" s="8"/>
      <c r="T440" s="9">
        <f t="shared" si="150"/>
        <v>45033</v>
      </c>
      <c r="U440" s="9"/>
      <c r="V440" s="8"/>
      <c r="W440" s="17">
        <v>45073</v>
      </c>
      <c r="X440" s="17"/>
      <c r="Y440" s="8"/>
      <c r="Z440" s="17">
        <v>45077</v>
      </c>
      <c r="AA440" s="9"/>
      <c r="AB440" s="8"/>
      <c r="AC440" s="8"/>
      <c r="AD440" s="8"/>
      <c r="AE440" s="16"/>
      <c r="AF440" s="8"/>
    </row>
    <row r="441" spans="1:32" ht="30">
      <c r="A441" s="8">
        <v>437</v>
      </c>
      <c r="B441" s="55"/>
      <c r="C441" s="8" t="s">
        <v>531</v>
      </c>
      <c r="D441" s="8" t="s">
        <v>508</v>
      </c>
      <c r="E441" s="8" t="s">
        <v>42</v>
      </c>
      <c r="F441" s="9" t="s">
        <v>66</v>
      </c>
      <c r="G441" s="9" t="s">
        <v>66</v>
      </c>
      <c r="H441" s="26" t="s">
        <v>240</v>
      </c>
      <c r="I441" s="8" t="s">
        <v>241</v>
      </c>
      <c r="J441" s="9">
        <v>45021</v>
      </c>
      <c r="K441" s="58"/>
      <c r="L441" s="16" t="s">
        <v>317</v>
      </c>
      <c r="M441" s="9">
        <f t="shared" si="147"/>
        <v>45031</v>
      </c>
      <c r="N441" s="8"/>
      <c r="O441" s="8" t="s">
        <v>47</v>
      </c>
      <c r="P441" s="9">
        <f t="shared" si="148"/>
        <v>45027</v>
      </c>
      <c r="Q441" s="9"/>
      <c r="R441" s="9">
        <f t="shared" si="149"/>
        <v>45030</v>
      </c>
      <c r="S441" s="8"/>
      <c r="T441" s="9">
        <f t="shared" si="150"/>
        <v>45033</v>
      </c>
      <c r="U441" s="9"/>
      <c r="V441" s="8"/>
      <c r="W441" s="17">
        <v>45073</v>
      </c>
      <c r="X441" s="17"/>
      <c r="Y441" s="8"/>
      <c r="Z441" s="17">
        <v>45077</v>
      </c>
      <c r="AA441" s="9"/>
      <c r="AB441" s="8"/>
      <c r="AC441" s="8"/>
      <c r="AD441" s="8"/>
      <c r="AE441" s="16"/>
      <c r="AF441" s="8"/>
    </row>
    <row r="442" spans="1:32" ht="15" hidden="1">
      <c r="A442" s="8">
        <v>438</v>
      </c>
      <c r="B442" s="55" t="s">
        <v>532</v>
      </c>
      <c r="C442" s="24" t="s">
        <v>533</v>
      </c>
      <c r="D442" s="8"/>
      <c r="E442" s="8"/>
      <c r="F442" s="9"/>
      <c r="G442" s="9"/>
      <c r="H442" s="26"/>
      <c r="I442" s="8"/>
      <c r="J442" s="9"/>
      <c r="K442" s="58"/>
      <c r="L442" s="16"/>
      <c r="M442" s="9"/>
      <c r="N442" s="8"/>
      <c r="O442" s="8"/>
      <c r="P442" s="9"/>
      <c r="Q442" s="9"/>
      <c r="R442" s="9"/>
      <c r="S442" s="8"/>
      <c r="T442" s="9"/>
      <c r="U442" s="9"/>
      <c r="V442" s="8"/>
      <c r="W442" s="17"/>
      <c r="X442" s="17"/>
      <c r="Y442" s="8"/>
      <c r="Z442" s="17"/>
      <c r="AA442" s="9"/>
      <c r="AB442" s="8"/>
      <c r="AC442" s="8"/>
      <c r="AD442" s="8"/>
      <c r="AE442" s="16"/>
      <c r="AF442" s="8"/>
    </row>
    <row r="443" spans="1:32" ht="30">
      <c r="A443" s="8">
        <v>439</v>
      </c>
      <c r="B443" s="55"/>
      <c r="C443" s="4" t="s">
        <v>534</v>
      </c>
      <c r="D443" s="8" t="s">
        <v>530</v>
      </c>
      <c r="E443" s="8" t="s">
        <v>42</v>
      </c>
      <c r="F443" s="9" t="s">
        <v>66</v>
      </c>
      <c r="G443" s="9" t="s">
        <v>66</v>
      </c>
      <c r="H443" s="26" t="s">
        <v>240</v>
      </c>
      <c r="I443" s="8" t="s">
        <v>241</v>
      </c>
      <c r="J443" s="9">
        <v>45021</v>
      </c>
      <c r="K443" s="58"/>
      <c r="L443" s="16" t="s">
        <v>317</v>
      </c>
      <c r="M443" s="9">
        <f t="shared" ref="M443:M445" si="151">J443+10</f>
        <v>45031</v>
      </c>
      <c r="N443" s="8"/>
      <c r="O443" s="8" t="s">
        <v>47</v>
      </c>
      <c r="P443" s="9">
        <f t="shared" ref="P443:P445" si="152">J443+6</f>
        <v>45027</v>
      </c>
      <c r="Q443" s="9"/>
      <c r="R443" s="9">
        <f t="shared" ref="R443:R445" si="153">J443+9</f>
        <v>45030</v>
      </c>
      <c r="S443" s="8"/>
      <c r="T443" s="9">
        <f t="shared" ref="T443:T445" si="154">J443+12</f>
        <v>45033</v>
      </c>
      <c r="U443" s="9"/>
      <c r="V443" s="8"/>
      <c r="W443" s="17">
        <v>45073</v>
      </c>
      <c r="X443" s="17"/>
      <c r="Y443" s="8"/>
      <c r="Z443" s="17">
        <v>45077</v>
      </c>
      <c r="AA443" s="9"/>
      <c r="AB443" s="8"/>
      <c r="AC443" s="8"/>
      <c r="AD443" s="8"/>
      <c r="AE443" s="16"/>
      <c r="AF443" s="8"/>
    </row>
    <row r="444" spans="1:32" ht="30">
      <c r="A444" s="8">
        <v>440</v>
      </c>
      <c r="B444" s="55"/>
      <c r="C444" s="4" t="s">
        <v>535</v>
      </c>
      <c r="D444" s="8" t="s">
        <v>530</v>
      </c>
      <c r="E444" s="8" t="s">
        <v>42</v>
      </c>
      <c r="F444" s="9" t="s">
        <v>66</v>
      </c>
      <c r="G444" s="9" t="s">
        <v>66</v>
      </c>
      <c r="H444" s="26" t="s">
        <v>240</v>
      </c>
      <c r="I444" s="8" t="s">
        <v>241</v>
      </c>
      <c r="J444" s="9">
        <v>45021</v>
      </c>
      <c r="K444" s="58"/>
      <c r="L444" s="16" t="s">
        <v>317</v>
      </c>
      <c r="M444" s="9">
        <f t="shared" si="151"/>
        <v>45031</v>
      </c>
      <c r="N444" s="8"/>
      <c r="O444" s="8" t="s">
        <v>47</v>
      </c>
      <c r="P444" s="9">
        <f t="shared" si="152"/>
        <v>45027</v>
      </c>
      <c r="Q444" s="9"/>
      <c r="R444" s="9">
        <f t="shared" si="153"/>
        <v>45030</v>
      </c>
      <c r="S444" s="8"/>
      <c r="T444" s="9">
        <f t="shared" si="154"/>
        <v>45033</v>
      </c>
      <c r="U444" s="9"/>
      <c r="V444" s="8"/>
      <c r="W444" s="17">
        <v>45073</v>
      </c>
      <c r="X444" s="17"/>
      <c r="Y444" s="8"/>
      <c r="Z444" s="17">
        <v>45077</v>
      </c>
      <c r="AA444" s="9"/>
      <c r="AB444" s="8"/>
      <c r="AC444" s="8"/>
      <c r="AD444" s="8"/>
      <c r="AE444" s="16"/>
      <c r="AF444" s="8"/>
    </row>
    <row r="445" spans="1:32" ht="45">
      <c r="A445" s="8">
        <v>441</v>
      </c>
      <c r="B445" s="55"/>
      <c r="C445" s="8" t="s">
        <v>536</v>
      </c>
      <c r="D445" s="8" t="s">
        <v>530</v>
      </c>
      <c r="E445" s="8" t="s">
        <v>42</v>
      </c>
      <c r="F445" s="9" t="s">
        <v>66</v>
      </c>
      <c r="G445" s="9" t="s">
        <v>66</v>
      </c>
      <c r="H445" s="26" t="s">
        <v>240</v>
      </c>
      <c r="I445" s="8" t="s">
        <v>241</v>
      </c>
      <c r="J445" s="11" t="s">
        <v>537</v>
      </c>
      <c r="K445" s="15" t="s">
        <v>538</v>
      </c>
      <c r="L445" s="16" t="s">
        <v>317</v>
      </c>
      <c r="M445" s="9" t="e">
        <f t="shared" si="151"/>
        <v>#VALUE!</v>
      </c>
      <c r="N445" s="8"/>
      <c r="O445" s="8" t="s">
        <v>47</v>
      </c>
      <c r="P445" s="9" t="e">
        <f t="shared" si="152"/>
        <v>#VALUE!</v>
      </c>
      <c r="Q445" s="9"/>
      <c r="R445" s="9" t="e">
        <f t="shared" si="153"/>
        <v>#VALUE!</v>
      </c>
      <c r="S445" s="9"/>
      <c r="T445" s="9" t="e">
        <f t="shared" si="154"/>
        <v>#VALUE!</v>
      </c>
      <c r="U445" s="9"/>
      <c r="V445" s="8"/>
      <c r="W445" s="17">
        <v>45073</v>
      </c>
      <c r="X445" s="17"/>
      <c r="Y445" s="8"/>
      <c r="Z445" s="17">
        <v>45077</v>
      </c>
      <c r="AA445" s="9"/>
      <c r="AB445" s="8"/>
      <c r="AC445" s="8"/>
      <c r="AD445" s="8"/>
      <c r="AE445" s="16"/>
      <c r="AF445" s="8"/>
    </row>
    <row r="446" spans="1:32" ht="15" hidden="1">
      <c r="A446" s="8">
        <v>442</v>
      </c>
      <c r="B446" s="55"/>
      <c r="C446" s="24" t="s">
        <v>539</v>
      </c>
      <c r="D446" s="8"/>
      <c r="E446" s="8"/>
      <c r="F446" s="9"/>
      <c r="G446" s="9"/>
      <c r="H446" s="26"/>
      <c r="I446" s="8"/>
      <c r="J446" s="11"/>
      <c r="K446" s="15"/>
      <c r="L446" s="16"/>
      <c r="M446" s="9"/>
      <c r="N446" s="8"/>
      <c r="O446" s="8"/>
      <c r="P446" s="9"/>
      <c r="Q446" s="9"/>
      <c r="R446" s="9"/>
      <c r="S446" s="9"/>
      <c r="T446" s="9"/>
      <c r="U446" s="9"/>
      <c r="V446" s="8"/>
      <c r="W446" s="17"/>
      <c r="X446" s="17"/>
      <c r="Y446" s="8"/>
      <c r="Z446" s="17"/>
      <c r="AA446" s="9"/>
      <c r="AB446" s="8"/>
      <c r="AC446" s="8"/>
      <c r="AD446" s="8"/>
      <c r="AE446" s="16"/>
      <c r="AF446" s="8"/>
    </row>
    <row r="447" spans="1:32" ht="30">
      <c r="A447" s="8">
        <v>443</v>
      </c>
      <c r="B447" s="55"/>
      <c r="C447" s="8" t="s">
        <v>540</v>
      </c>
      <c r="D447" s="8" t="s">
        <v>530</v>
      </c>
      <c r="E447" s="8" t="s">
        <v>42</v>
      </c>
      <c r="F447" s="9" t="s">
        <v>66</v>
      </c>
      <c r="G447" s="9" t="s">
        <v>66</v>
      </c>
      <c r="H447" s="26" t="s">
        <v>240</v>
      </c>
      <c r="I447" s="8" t="s">
        <v>241</v>
      </c>
      <c r="J447" s="11">
        <v>45066</v>
      </c>
      <c r="K447" s="58" t="s">
        <v>541</v>
      </c>
      <c r="L447" s="16" t="s">
        <v>317</v>
      </c>
      <c r="M447" s="9">
        <f t="shared" ref="M447:M450" si="155">J447+10</f>
        <v>45076</v>
      </c>
      <c r="N447" s="8"/>
      <c r="O447" s="8" t="s">
        <v>47</v>
      </c>
      <c r="P447" s="9">
        <f t="shared" ref="P447:P450" si="156">J447+6</f>
        <v>45072</v>
      </c>
      <c r="Q447" s="9"/>
      <c r="R447" s="9">
        <f t="shared" ref="R447:R450" si="157">J447+9</f>
        <v>45075</v>
      </c>
      <c r="S447" s="9"/>
      <c r="T447" s="9">
        <f t="shared" ref="T447:T450" si="158">J447+12</f>
        <v>45078</v>
      </c>
      <c r="U447" s="9"/>
      <c r="V447" s="8"/>
      <c r="W447" s="17">
        <v>45073</v>
      </c>
      <c r="X447" s="17"/>
      <c r="Y447" s="8"/>
      <c r="Z447" s="17">
        <v>45077</v>
      </c>
      <c r="AA447" s="9"/>
      <c r="AB447" s="8"/>
      <c r="AC447" s="8"/>
      <c r="AD447" s="8"/>
      <c r="AE447" s="16"/>
      <c r="AF447" s="8"/>
    </row>
    <row r="448" spans="1:32" ht="30">
      <c r="A448" s="8">
        <v>444</v>
      </c>
      <c r="B448" s="55"/>
      <c r="C448" s="8" t="s">
        <v>542</v>
      </c>
      <c r="D448" s="8" t="s">
        <v>530</v>
      </c>
      <c r="E448" s="8" t="s">
        <v>42</v>
      </c>
      <c r="F448" s="9" t="s">
        <v>66</v>
      </c>
      <c r="G448" s="9" t="s">
        <v>66</v>
      </c>
      <c r="H448" s="26" t="s">
        <v>240</v>
      </c>
      <c r="I448" s="8" t="s">
        <v>241</v>
      </c>
      <c r="J448" s="11">
        <v>45066</v>
      </c>
      <c r="K448" s="58"/>
      <c r="L448" s="16" t="s">
        <v>317</v>
      </c>
      <c r="M448" s="9">
        <f t="shared" si="155"/>
        <v>45076</v>
      </c>
      <c r="N448" s="8"/>
      <c r="O448" s="8" t="s">
        <v>47</v>
      </c>
      <c r="P448" s="9">
        <f t="shared" si="156"/>
        <v>45072</v>
      </c>
      <c r="Q448" s="8"/>
      <c r="R448" s="9">
        <f t="shared" si="157"/>
        <v>45075</v>
      </c>
      <c r="S448" s="8"/>
      <c r="T448" s="9">
        <f t="shared" si="158"/>
        <v>45078</v>
      </c>
      <c r="U448" s="8"/>
      <c r="V448" s="8"/>
      <c r="W448" s="17">
        <v>45073</v>
      </c>
      <c r="X448" s="8"/>
      <c r="Y448" s="21"/>
      <c r="Z448" s="17">
        <v>45077</v>
      </c>
      <c r="AA448" s="8"/>
      <c r="AB448" s="21"/>
      <c r="AC448" s="8"/>
      <c r="AD448" s="8"/>
      <c r="AE448" s="8"/>
      <c r="AF448" s="8"/>
    </row>
    <row r="449" spans="1:32" ht="30">
      <c r="A449" s="8">
        <v>445</v>
      </c>
      <c r="B449" s="55"/>
      <c r="C449" s="8" t="s">
        <v>543</v>
      </c>
      <c r="D449" s="8" t="s">
        <v>530</v>
      </c>
      <c r="E449" s="8" t="s">
        <v>42</v>
      </c>
      <c r="F449" s="9" t="s">
        <v>66</v>
      </c>
      <c r="G449" s="9" t="s">
        <v>66</v>
      </c>
      <c r="H449" s="26" t="s">
        <v>240</v>
      </c>
      <c r="I449" s="8" t="s">
        <v>241</v>
      </c>
      <c r="J449" s="11">
        <v>45066</v>
      </c>
      <c r="K449" s="58"/>
      <c r="L449" s="16" t="s">
        <v>317</v>
      </c>
      <c r="M449" s="9">
        <f t="shared" si="155"/>
        <v>45076</v>
      </c>
      <c r="N449" s="8"/>
      <c r="O449" s="8" t="s">
        <v>47</v>
      </c>
      <c r="P449" s="9">
        <f t="shared" si="156"/>
        <v>45072</v>
      </c>
      <c r="Q449" s="8"/>
      <c r="R449" s="9">
        <f t="shared" si="157"/>
        <v>45075</v>
      </c>
      <c r="S449" s="8"/>
      <c r="T449" s="9">
        <f t="shared" si="158"/>
        <v>45078</v>
      </c>
      <c r="U449" s="8"/>
      <c r="V449" s="8"/>
      <c r="W449" s="17">
        <v>45073</v>
      </c>
      <c r="X449" s="8"/>
      <c r="Y449" s="21"/>
      <c r="Z449" s="17">
        <v>45077</v>
      </c>
      <c r="AA449" s="8"/>
      <c r="AB449" s="21"/>
      <c r="AC449" s="8"/>
      <c r="AD449" s="8"/>
      <c r="AE449" s="8"/>
      <c r="AF449" s="8"/>
    </row>
    <row r="450" spans="1:32" ht="30">
      <c r="A450" s="8">
        <v>446</v>
      </c>
      <c r="B450" s="55"/>
      <c r="C450" s="27" t="s">
        <v>544</v>
      </c>
      <c r="D450" s="8" t="s">
        <v>530</v>
      </c>
      <c r="E450" s="8" t="s">
        <v>42</v>
      </c>
      <c r="F450" s="9" t="s">
        <v>66</v>
      </c>
      <c r="G450" s="9" t="s">
        <v>66</v>
      </c>
      <c r="H450" s="26" t="s">
        <v>240</v>
      </c>
      <c r="I450" s="8" t="s">
        <v>241</v>
      </c>
      <c r="J450" s="11">
        <v>45066</v>
      </c>
      <c r="K450" s="58"/>
      <c r="L450" s="16" t="s">
        <v>317</v>
      </c>
      <c r="M450" s="9">
        <f t="shared" si="155"/>
        <v>45076</v>
      </c>
      <c r="N450" s="4"/>
      <c r="O450" s="8" t="s">
        <v>47</v>
      </c>
      <c r="P450" s="9">
        <f t="shared" si="156"/>
        <v>45072</v>
      </c>
      <c r="Q450" s="4"/>
      <c r="R450" s="9">
        <f t="shared" si="157"/>
        <v>45075</v>
      </c>
      <c r="S450" s="4"/>
      <c r="T450" s="9">
        <f t="shared" si="158"/>
        <v>45078</v>
      </c>
      <c r="U450" s="4"/>
      <c r="V450" s="4"/>
      <c r="W450" s="17">
        <v>45073</v>
      </c>
      <c r="X450" s="4"/>
      <c r="Y450" s="4"/>
      <c r="Z450" s="17">
        <v>45077</v>
      </c>
      <c r="AA450" s="4"/>
      <c r="AB450" s="4"/>
      <c r="AC450" s="4"/>
      <c r="AD450" s="4"/>
      <c r="AE450" s="4"/>
      <c r="AF450" s="4"/>
    </row>
    <row r="451" spans="1:32" ht="15" hidden="1">
      <c r="A451" s="8">
        <v>447</v>
      </c>
      <c r="B451" s="56" t="s">
        <v>545</v>
      </c>
      <c r="C451" s="29" t="s">
        <v>546</v>
      </c>
      <c r="D451" s="8"/>
      <c r="E451" s="8"/>
      <c r="F451" s="9"/>
      <c r="G451" s="9"/>
      <c r="H451" s="26"/>
      <c r="I451" s="8"/>
      <c r="J451" s="11"/>
      <c r="K451" s="15"/>
      <c r="L451" s="16"/>
      <c r="M451" s="9"/>
      <c r="N451" s="4"/>
      <c r="O451" s="8"/>
      <c r="P451" s="9"/>
      <c r="Q451" s="4"/>
      <c r="R451" s="9"/>
      <c r="S451" s="4"/>
      <c r="T451" s="9"/>
      <c r="U451" s="4"/>
      <c r="V451" s="4"/>
      <c r="W451" s="17"/>
      <c r="X451" s="4"/>
      <c r="Y451" s="4"/>
      <c r="Z451" s="17"/>
      <c r="AA451" s="4"/>
      <c r="AB451" s="4"/>
      <c r="AC451" s="4"/>
      <c r="AD451" s="4"/>
      <c r="AE451" s="4"/>
      <c r="AF451" s="4"/>
    </row>
    <row r="452" spans="1:32" ht="30">
      <c r="A452" s="8">
        <v>448</v>
      </c>
      <c r="B452" s="56"/>
      <c r="C452" s="27" t="s">
        <v>547</v>
      </c>
      <c r="D452" s="8" t="s">
        <v>548</v>
      </c>
      <c r="E452" s="8" t="s">
        <v>42</v>
      </c>
      <c r="F452" s="9" t="s">
        <v>66</v>
      </c>
      <c r="G452" s="9" t="s">
        <v>66</v>
      </c>
      <c r="H452" s="26" t="s">
        <v>240</v>
      </c>
      <c r="I452" s="8" t="s">
        <v>241</v>
      </c>
      <c r="J452" s="9">
        <v>45021</v>
      </c>
      <c r="K452" s="58" t="s">
        <v>528</v>
      </c>
      <c r="L452" s="16" t="s">
        <v>317</v>
      </c>
      <c r="M452" s="9">
        <f t="shared" ref="M452:M455" si="159">J452+10</f>
        <v>45031</v>
      </c>
      <c r="N452" s="4"/>
      <c r="O452" s="8" t="s">
        <v>47</v>
      </c>
      <c r="P452" s="9">
        <f t="shared" ref="P452:P455" si="160">J452+6</f>
        <v>45027</v>
      </c>
      <c r="Q452" s="4"/>
      <c r="R452" s="9">
        <f t="shared" ref="R452:R455" si="161">J452+9</f>
        <v>45030</v>
      </c>
      <c r="S452" s="4"/>
      <c r="T452" s="9">
        <f t="shared" ref="T452:T455" si="162">J452+12</f>
        <v>45033</v>
      </c>
      <c r="U452" s="4"/>
      <c r="V452" s="4"/>
      <c r="W452" s="17">
        <v>45073</v>
      </c>
      <c r="X452" s="4"/>
      <c r="Y452" s="4"/>
      <c r="Z452" s="17">
        <v>45077</v>
      </c>
      <c r="AA452" s="4"/>
      <c r="AB452" s="4"/>
      <c r="AC452" s="4"/>
      <c r="AD452" s="4"/>
      <c r="AE452" s="4"/>
      <c r="AF452" s="4"/>
    </row>
    <row r="453" spans="1:32" ht="30">
      <c r="A453" s="8">
        <v>449</v>
      </c>
      <c r="B453" s="56"/>
      <c r="C453" s="27" t="s">
        <v>549</v>
      </c>
      <c r="D453" s="8" t="s">
        <v>548</v>
      </c>
      <c r="E453" s="8" t="s">
        <v>42</v>
      </c>
      <c r="F453" s="9" t="s">
        <v>66</v>
      </c>
      <c r="G453" s="9" t="s">
        <v>66</v>
      </c>
      <c r="H453" s="26" t="s">
        <v>240</v>
      </c>
      <c r="I453" s="8" t="s">
        <v>241</v>
      </c>
      <c r="J453" s="9">
        <v>45021</v>
      </c>
      <c r="K453" s="58"/>
      <c r="L453" s="16" t="s">
        <v>317</v>
      </c>
      <c r="M453" s="9">
        <f t="shared" si="159"/>
        <v>45031</v>
      </c>
      <c r="N453" s="4"/>
      <c r="O453" s="8" t="s">
        <v>47</v>
      </c>
      <c r="P453" s="9">
        <f t="shared" si="160"/>
        <v>45027</v>
      </c>
      <c r="Q453" s="4"/>
      <c r="R453" s="9">
        <f t="shared" si="161"/>
        <v>45030</v>
      </c>
      <c r="S453" s="4"/>
      <c r="T453" s="9">
        <f t="shared" si="162"/>
        <v>45033</v>
      </c>
      <c r="U453" s="4"/>
      <c r="V453" s="4"/>
      <c r="W453" s="17">
        <v>45073</v>
      </c>
      <c r="X453" s="4"/>
      <c r="Y453" s="4"/>
      <c r="Z453" s="17">
        <v>45077</v>
      </c>
      <c r="AA453" s="4"/>
      <c r="AB453" s="4"/>
      <c r="AC453" s="4"/>
      <c r="AD453" s="4"/>
      <c r="AE453" s="4"/>
      <c r="AF453" s="4"/>
    </row>
    <row r="454" spans="1:32" ht="30">
      <c r="A454" s="8">
        <v>450</v>
      </c>
      <c r="B454" s="56"/>
      <c r="C454" s="27" t="s">
        <v>550</v>
      </c>
      <c r="D454" s="8" t="s">
        <v>548</v>
      </c>
      <c r="E454" s="8" t="s">
        <v>42</v>
      </c>
      <c r="F454" s="9" t="s">
        <v>66</v>
      </c>
      <c r="G454" s="9" t="s">
        <v>66</v>
      </c>
      <c r="H454" s="26" t="s">
        <v>240</v>
      </c>
      <c r="I454" s="8" t="s">
        <v>241</v>
      </c>
      <c r="J454" s="9" t="s">
        <v>551</v>
      </c>
      <c r="K454" s="15" t="s">
        <v>551</v>
      </c>
      <c r="L454" s="16" t="s">
        <v>317</v>
      </c>
      <c r="M454" s="9" t="e">
        <f t="shared" si="159"/>
        <v>#VALUE!</v>
      </c>
      <c r="N454" s="4"/>
      <c r="O454" s="8" t="s">
        <v>47</v>
      </c>
      <c r="P454" s="9" t="e">
        <f t="shared" si="160"/>
        <v>#VALUE!</v>
      </c>
      <c r="Q454" s="4"/>
      <c r="R454" s="9" t="e">
        <f t="shared" si="161"/>
        <v>#VALUE!</v>
      </c>
      <c r="S454" s="4"/>
      <c r="T454" s="9" t="e">
        <f t="shared" si="162"/>
        <v>#VALUE!</v>
      </c>
      <c r="U454" s="4"/>
      <c r="V454" s="4"/>
      <c r="W454" s="17">
        <v>45073</v>
      </c>
      <c r="X454" s="4"/>
      <c r="Y454" s="4"/>
      <c r="Z454" s="17">
        <v>45077</v>
      </c>
      <c r="AA454" s="4"/>
      <c r="AB454" s="4"/>
      <c r="AC454" s="4"/>
      <c r="AD454" s="4"/>
      <c r="AE454" s="4"/>
      <c r="AF454" s="4"/>
    </row>
    <row r="455" spans="1:32" ht="30">
      <c r="A455" s="8">
        <v>451</v>
      </c>
      <c r="B455" s="56"/>
      <c r="C455" s="27" t="s">
        <v>552</v>
      </c>
      <c r="D455" s="8" t="s">
        <v>548</v>
      </c>
      <c r="E455" s="8" t="s">
        <v>42</v>
      </c>
      <c r="F455" s="9" t="s">
        <v>66</v>
      </c>
      <c r="G455" s="9" t="s">
        <v>66</v>
      </c>
      <c r="H455" s="26" t="s">
        <v>240</v>
      </c>
      <c r="I455" s="8" t="s">
        <v>241</v>
      </c>
      <c r="J455" s="9">
        <v>45021</v>
      </c>
      <c r="K455" s="58" t="s">
        <v>528</v>
      </c>
      <c r="L455" s="16" t="s">
        <v>317</v>
      </c>
      <c r="M455" s="9">
        <f t="shared" si="159"/>
        <v>45031</v>
      </c>
      <c r="N455" s="4"/>
      <c r="O455" s="8" t="s">
        <v>47</v>
      </c>
      <c r="P455" s="9">
        <f t="shared" si="160"/>
        <v>45027</v>
      </c>
      <c r="Q455" s="4"/>
      <c r="R455" s="9">
        <f t="shared" si="161"/>
        <v>45030</v>
      </c>
      <c r="S455" s="4"/>
      <c r="T455" s="9">
        <f t="shared" si="162"/>
        <v>45033</v>
      </c>
      <c r="U455" s="4"/>
      <c r="V455" s="4"/>
      <c r="W455" s="17">
        <v>45073</v>
      </c>
      <c r="X455" s="4"/>
      <c r="Y455" s="4"/>
      <c r="Z455" s="17">
        <v>45077</v>
      </c>
      <c r="AA455" s="4"/>
      <c r="AB455" s="4"/>
      <c r="AC455" s="4"/>
      <c r="AD455" s="4"/>
      <c r="AE455" s="4"/>
      <c r="AF455" s="4"/>
    </row>
    <row r="456" spans="1:32" ht="15" hidden="1">
      <c r="A456" s="8">
        <v>452</v>
      </c>
      <c r="B456" s="56"/>
      <c r="C456" s="31" t="s">
        <v>553</v>
      </c>
      <c r="D456" s="8"/>
      <c r="E456" s="8"/>
      <c r="F456" s="9"/>
      <c r="G456" s="9"/>
      <c r="H456" s="26"/>
      <c r="I456" s="8"/>
      <c r="J456" s="9"/>
      <c r="K456" s="58"/>
      <c r="L456" s="16"/>
      <c r="M456" s="9"/>
      <c r="N456" s="4"/>
      <c r="O456" s="8"/>
      <c r="P456" s="9"/>
      <c r="Q456" s="4"/>
      <c r="R456" s="9"/>
      <c r="S456" s="4"/>
      <c r="T456" s="9"/>
      <c r="U456" s="4"/>
      <c r="V456" s="4"/>
      <c r="W456" s="17"/>
      <c r="X456" s="4"/>
      <c r="Y456" s="4"/>
      <c r="Z456" s="17"/>
      <c r="AA456" s="4"/>
      <c r="AB456" s="4"/>
      <c r="AC456" s="4"/>
      <c r="AD456" s="4"/>
      <c r="AE456" s="4"/>
      <c r="AF456" s="4"/>
    </row>
    <row r="457" spans="1:32" ht="30">
      <c r="A457" s="8">
        <v>453</v>
      </c>
      <c r="B457" s="56"/>
      <c r="C457" s="27" t="s">
        <v>554</v>
      </c>
      <c r="D457" s="8" t="s">
        <v>548</v>
      </c>
      <c r="E457" s="8" t="s">
        <v>42</v>
      </c>
      <c r="F457" s="9" t="s">
        <v>66</v>
      </c>
      <c r="G457" s="9" t="s">
        <v>66</v>
      </c>
      <c r="H457" s="26" t="s">
        <v>240</v>
      </c>
      <c r="I457" s="8" t="s">
        <v>241</v>
      </c>
      <c r="J457" s="9">
        <v>45021</v>
      </c>
      <c r="K457" s="58"/>
      <c r="L457" s="16" t="s">
        <v>317</v>
      </c>
      <c r="M457" s="9">
        <f t="shared" ref="M457:M462" si="163">J457+10</f>
        <v>45031</v>
      </c>
      <c r="N457" s="4"/>
      <c r="O457" s="8" t="s">
        <v>47</v>
      </c>
      <c r="P457" s="9">
        <f t="shared" ref="P457:P462" si="164">J457+6</f>
        <v>45027</v>
      </c>
      <c r="Q457" s="4"/>
      <c r="R457" s="9">
        <f t="shared" ref="R457:R462" si="165">J457+9</f>
        <v>45030</v>
      </c>
      <c r="S457" s="4"/>
      <c r="T457" s="9">
        <f t="shared" ref="T457:T462" si="166">J457+12</f>
        <v>45033</v>
      </c>
      <c r="U457" s="4"/>
      <c r="V457" s="4"/>
      <c r="W457" s="17">
        <v>45073</v>
      </c>
      <c r="X457" s="4"/>
      <c r="Y457" s="4"/>
      <c r="Z457" s="17">
        <v>45077</v>
      </c>
      <c r="AA457" s="4"/>
      <c r="AB457" s="4"/>
      <c r="AC457" s="4"/>
      <c r="AD457" s="4"/>
      <c r="AE457" s="4"/>
      <c r="AF457" s="4"/>
    </row>
    <row r="458" spans="1:32" ht="30">
      <c r="A458" s="8">
        <v>454</v>
      </c>
      <c r="B458" s="56"/>
      <c r="C458" s="27" t="s">
        <v>555</v>
      </c>
      <c r="D458" s="8" t="s">
        <v>548</v>
      </c>
      <c r="E458" s="8" t="s">
        <v>42</v>
      </c>
      <c r="F458" s="9" t="s">
        <v>66</v>
      </c>
      <c r="G458" s="9" t="s">
        <v>66</v>
      </c>
      <c r="H458" s="26" t="s">
        <v>240</v>
      </c>
      <c r="I458" s="8" t="s">
        <v>241</v>
      </c>
      <c r="J458" s="9">
        <v>45021</v>
      </c>
      <c r="K458" s="58"/>
      <c r="L458" s="16" t="s">
        <v>317</v>
      </c>
      <c r="M458" s="9">
        <f t="shared" si="163"/>
        <v>45031</v>
      </c>
      <c r="N458" s="4"/>
      <c r="O458" s="8" t="s">
        <v>47</v>
      </c>
      <c r="P458" s="9">
        <f t="shared" si="164"/>
        <v>45027</v>
      </c>
      <c r="Q458" s="4"/>
      <c r="R458" s="9">
        <f t="shared" si="165"/>
        <v>45030</v>
      </c>
      <c r="S458" s="4"/>
      <c r="T458" s="9">
        <f t="shared" si="166"/>
        <v>45033</v>
      </c>
      <c r="U458" s="4"/>
      <c r="V458" s="4"/>
      <c r="W458" s="17">
        <v>45073</v>
      </c>
      <c r="X458" s="4"/>
      <c r="Y458" s="4"/>
      <c r="Z458" s="17">
        <v>45077</v>
      </c>
      <c r="AA458" s="4"/>
      <c r="AB458" s="4"/>
      <c r="AC458" s="4"/>
      <c r="AD458" s="4"/>
      <c r="AE458" s="4"/>
      <c r="AF458" s="4"/>
    </row>
    <row r="459" spans="1:32" ht="30">
      <c r="A459" s="8">
        <v>455</v>
      </c>
      <c r="B459" s="56"/>
      <c r="C459" s="27" t="s">
        <v>556</v>
      </c>
      <c r="D459" s="8" t="s">
        <v>548</v>
      </c>
      <c r="E459" s="8" t="s">
        <v>42</v>
      </c>
      <c r="F459" s="9" t="s">
        <v>66</v>
      </c>
      <c r="G459" s="9" t="s">
        <v>66</v>
      </c>
      <c r="H459" s="26" t="s">
        <v>240</v>
      </c>
      <c r="I459" s="8" t="s">
        <v>241</v>
      </c>
      <c r="J459" s="9">
        <v>45021</v>
      </c>
      <c r="K459" s="58"/>
      <c r="L459" s="16" t="s">
        <v>317</v>
      </c>
      <c r="M459" s="9">
        <f t="shared" si="163"/>
        <v>45031</v>
      </c>
      <c r="N459" s="4"/>
      <c r="O459" s="8" t="s">
        <v>47</v>
      </c>
      <c r="P459" s="9">
        <f t="shared" si="164"/>
        <v>45027</v>
      </c>
      <c r="Q459" s="4"/>
      <c r="R459" s="9">
        <f t="shared" si="165"/>
        <v>45030</v>
      </c>
      <c r="S459" s="4"/>
      <c r="T459" s="9">
        <f t="shared" si="166"/>
        <v>45033</v>
      </c>
      <c r="U459" s="4"/>
      <c r="V459" s="4"/>
      <c r="W459" s="17">
        <v>45073</v>
      </c>
      <c r="X459" s="4"/>
      <c r="Y459" s="4"/>
      <c r="Z459" s="17">
        <v>45077</v>
      </c>
      <c r="AA459" s="4"/>
      <c r="AB459" s="4"/>
      <c r="AC459" s="4"/>
      <c r="AD459" s="4"/>
      <c r="AE459" s="4"/>
      <c r="AF459" s="4"/>
    </row>
    <row r="460" spans="1:32" ht="30">
      <c r="A460" s="8">
        <v>456</v>
      </c>
      <c r="B460" s="56"/>
      <c r="C460" s="27" t="s">
        <v>557</v>
      </c>
      <c r="D460" s="8" t="s">
        <v>548</v>
      </c>
      <c r="E460" s="8" t="s">
        <v>42</v>
      </c>
      <c r="F460" s="9" t="s">
        <v>66</v>
      </c>
      <c r="G460" s="9" t="s">
        <v>66</v>
      </c>
      <c r="H460" s="26" t="s">
        <v>240</v>
      </c>
      <c r="I460" s="8" t="s">
        <v>241</v>
      </c>
      <c r="J460" s="9">
        <v>45021</v>
      </c>
      <c r="K460" s="58"/>
      <c r="L460" s="16" t="s">
        <v>317</v>
      </c>
      <c r="M460" s="9">
        <f t="shared" si="163"/>
        <v>45031</v>
      </c>
      <c r="N460" s="4"/>
      <c r="O460" s="8" t="s">
        <v>47</v>
      </c>
      <c r="P460" s="9">
        <f t="shared" si="164"/>
        <v>45027</v>
      </c>
      <c r="Q460" s="4"/>
      <c r="R460" s="9">
        <f t="shared" si="165"/>
        <v>45030</v>
      </c>
      <c r="S460" s="4"/>
      <c r="T460" s="9">
        <f t="shared" si="166"/>
        <v>45033</v>
      </c>
      <c r="U460" s="4"/>
      <c r="V460" s="4"/>
      <c r="W460" s="17">
        <v>45073</v>
      </c>
      <c r="X460" s="4"/>
      <c r="Y460" s="4"/>
      <c r="Z460" s="17">
        <v>45077</v>
      </c>
      <c r="AA460" s="4"/>
      <c r="AB460" s="4"/>
      <c r="AC460" s="4"/>
      <c r="AD460" s="4"/>
      <c r="AE460" s="4"/>
      <c r="AF460" s="4"/>
    </row>
    <row r="461" spans="1:32" ht="30">
      <c r="A461" s="8">
        <v>457</v>
      </c>
      <c r="B461" s="56"/>
      <c r="C461" s="27" t="s">
        <v>558</v>
      </c>
      <c r="D461" s="8" t="s">
        <v>548</v>
      </c>
      <c r="E461" s="8" t="s">
        <v>42</v>
      </c>
      <c r="F461" s="9" t="s">
        <v>66</v>
      </c>
      <c r="G461" s="9" t="s">
        <v>66</v>
      </c>
      <c r="H461" s="26" t="s">
        <v>240</v>
      </c>
      <c r="I461" s="8" t="s">
        <v>241</v>
      </c>
      <c r="J461" s="9">
        <v>45021</v>
      </c>
      <c r="K461" s="58"/>
      <c r="L461" s="16" t="s">
        <v>317</v>
      </c>
      <c r="M461" s="9">
        <f t="shared" si="163"/>
        <v>45031</v>
      </c>
      <c r="N461" s="4"/>
      <c r="O461" s="8" t="s">
        <v>47</v>
      </c>
      <c r="P461" s="9">
        <f t="shared" si="164"/>
        <v>45027</v>
      </c>
      <c r="Q461" s="4"/>
      <c r="R461" s="9">
        <f t="shared" si="165"/>
        <v>45030</v>
      </c>
      <c r="S461" s="4"/>
      <c r="T461" s="9">
        <f t="shared" si="166"/>
        <v>45033</v>
      </c>
      <c r="U461" s="4"/>
      <c r="V461" s="4"/>
      <c r="W461" s="17">
        <v>45073</v>
      </c>
      <c r="X461" s="4"/>
      <c r="Y461" s="4"/>
      <c r="Z461" s="17">
        <v>45077</v>
      </c>
      <c r="AA461" s="4"/>
      <c r="AB461" s="4"/>
      <c r="AC461" s="4"/>
      <c r="AD461" s="4"/>
      <c r="AE461" s="4"/>
      <c r="AF461" s="4"/>
    </row>
    <row r="462" spans="1:32" ht="30">
      <c r="A462" s="8">
        <v>458</v>
      </c>
      <c r="B462" s="56"/>
      <c r="C462" s="27" t="s">
        <v>267</v>
      </c>
      <c r="D462" s="8" t="s">
        <v>548</v>
      </c>
      <c r="E462" s="8" t="s">
        <v>42</v>
      </c>
      <c r="F462" s="9" t="s">
        <v>66</v>
      </c>
      <c r="G462" s="9" t="s">
        <v>66</v>
      </c>
      <c r="H462" s="26" t="s">
        <v>240</v>
      </c>
      <c r="I462" s="8" t="s">
        <v>241</v>
      </c>
      <c r="J462" s="9" t="s">
        <v>551</v>
      </c>
      <c r="K462" s="15" t="s">
        <v>551</v>
      </c>
      <c r="L462" s="16" t="s">
        <v>317</v>
      </c>
      <c r="M462" s="9" t="e">
        <f t="shared" si="163"/>
        <v>#VALUE!</v>
      </c>
      <c r="N462" s="4"/>
      <c r="O462" s="8" t="s">
        <v>47</v>
      </c>
      <c r="P462" s="9" t="e">
        <f t="shared" si="164"/>
        <v>#VALUE!</v>
      </c>
      <c r="Q462" s="4"/>
      <c r="R462" s="9" t="e">
        <f t="shared" si="165"/>
        <v>#VALUE!</v>
      </c>
      <c r="S462" s="4"/>
      <c r="T462" s="9" t="e">
        <f t="shared" si="166"/>
        <v>#VALUE!</v>
      </c>
      <c r="U462" s="4"/>
      <c r="V462" s="4"/>
      <c r="W462" s="17">
        <v>45073</v>
      </c>
      <c r="X462" s="4"/>
      <c r="Y462" s="4"/>
      <c r="Z462" s="17">
        <v>45077</v>
      </c>
      <c r="AA462" s="4"/>
      <c r="AB462" s="4"/>
      <c r="AC462" s="4"/>
      <c r="AD462" s="4"/>
      <c r="AE462" s="4"/>
      <c r="AF462" s="4"/>
    </row>
    <row r="463" spans="1:32" ht="15" hidden="1">
      <c r="A463" s="8">
        <v>459</v>
      </c>
      <c r="B463" s="56"/>
      <c r="C463" s="29" t="s">
        <v>559</v>
      </c>
      <c r="D463" s="8"/>
      <c r="E463" s="8"/>
      <c r="F463" s="9"/>
      <c r="G463" s="9"/>
      <c r="H463" s="26"/>
      <c r="I463" s="8"/>
      <c r="J463" s="9"/>
      <c r="K463" s="15"/>
      <c r="L463" s="16"/>
      <c r="M463" s="9"/>
      <c r="N463" s="4"/>
      <c r="O463" s="8"/>
      <c r="P463" s="9"/>
      <c r="Q463" s="4"/>
      <c r="R463" s="9"/>
      <c r="S463" s="4"/>
      <c r="T463" s="9"/>
      <c r="U463" s="4"/>
      <c r="V463" s="4"/>
      <c r="W463" s="17"/>
      <c r="X463" s="4"/>
      <c r="Y463" s="4"/>
      <c r="Z463" s="17"/>
      <c r="AA463" s="4"/>
      <c r="AB463" s="4"/>
      <c r="AC463" s="4"/>
      <c r="AD463" s="4"/>
      <c r="AE463" s="4"/>
      <c r="AF463" s="4"/>
    </row>
    <row r="464" spans="1:32" ht="30">
      <c r="A464" s="8">
        <v>460</v>
      </c>
      <c r="B464" s="56"/>
      <c r="C464" s="27" t="s">
        <v>560</v>
      </c>
      <c r="D464" s="8" t="s">
        <v>548</v>
      </c>
      <c r="E464" s="8" t="s">
        <v>42</v>
      </c>
      <c r="F464" s="9" t="s">
        <v>66</v>
      </c>
      <c r="G464" s="9" t="s">
        <v>66</v>
      </c>
      <c r="H464" s="26" t="s">
        <v>240</v>
      </c>
      <c r="I464" s="8" t="s">
        <v>241</v>
      </c>
      <c r="J464" s="9">
        <v>45021</v>
      </c>
      <c r="K464" s="15" t="s">
        <v>528</v>
      </c>
      <c r="L464" s="16" t="s">
        <v>317</v>
      </c>
      <c r="M464" s="9">
        <f t="shared" ref="M464:M470" si="167">J464+10</f>
        <v>45031</v>
      </c>
      <c r="N464" s="4"/>
      <c r="O464" s="8" t="s">
        <v>47</v>
      </c>
      <c r="P464" s="9">
        <f t="shared" ref="P464:P470" si="168">J464+6</f>
        <v>45027</v>
      </c>
      <c r="Q464" s="4"/>
      <c r="R464" s="9">
        <f t="shared" ref="R464:R470" si="169">J464+9</f>
        <v>45030</v>
      </c>
      <c r="S464" s="4"/>
      <c r="T464" s="9">
        <f t="shared" ref="T464:T470" si="170">J464+12</f>
        <v>45033</v>
      </c>
      <c r="U464" s="4"/>
      <c r="V464" s="4"/>
      <c r="W464" s="17">
        <v>45073</v>
      </c>
      <c r="X464" s="4"/>
      <c r="Y464" s="4"/>
      <c r="Z464" s="17">
        <v>45077</v>
      </c>
      <c r="AA464" s="4"/>
      <c r="AB464" s="4"/>
      <c r="AC464" s="4"/>
      <c r="AD464" s="4"/>
      <c r="AE464" s="4"/>
      <c r="AF464" s="4"/>
    </row>
    <row r="465" spans="1:16384" s="2" customFormat="1" ht="30">
      <c r="A465" s="8">
        <v>461</v>
      </c>
      <c r="B465" s="56"/>
      <c r="C465" s="27" t="s">
        <v>550</v>
      </c>
      <c r="D465" s="8" t="s">
        <v>548</v>
      </c>
      <c r="E465" s="8" t="s">
        <v>42</v>
      </c>
      <c r="F465" s="9" t="s">
        <v>66</v>
      </c>
      <c r="G465" s="9" t="s">
        <v>66</v>
      </c>
      <c r="H465" s="26" t="s">
        <v>240</v>
      </c>
      <c r="I465" s="8" t="s">
        <v>241</v>
      </c>
      <c r="J465" s="9" t="s">
        <v>551</v>
      </c>
      <c r="K465" s="15" t="s">
        <v>551</v>
      </c>
      <c r="L465" s="16" t="s">
        <v>317</v>
      </c>
      <c r="M465" s="9" t="e">
        <f t="shared" si="167"/>
        <v>#VALUE!</v>
      </c>
      <c r="N465" s="4"/>
      <c r="O465" s="8" t="s">
        <v>47</v>
      </c>
      <c r="P465" s="9" t="e">
        <f t="shared" si="168"/>
        <v>#VALUE!</v>
      </c>
      <c r="Q465" s="4"/>
      <c r="R465" s="9" t="e">
        <f t="shared" si="169"/>
        <v>#VALUE!</v>
      </c>
      <c r="S465" s="4"/>
      <c r="T465" s="9" t="e">
        <f t="shared" si="170"/>
        <v>#VALUE!</v>
      </c>
      <c r="U465" s="4"/>
      <c r="V465" s="4"/>
      <c r="W465" s="17">
        <v>45073</v>
      </c>
      <c r="X465" s="4"/>
      <c r="Y465" s="4"/>
      <c r="Z465" s="17">
        <v>45077</v>
      </c>
      <c r="AA465" s="4"/>
      <c r="AB465" s="4"/>
      <c r="AC465" s="4"/>
      <c r="AD465" s="4"/>
      <c r="AE465" s="4"/>
      <c r="AF465" s="4"/>
    </row>
    <row r="466" spans="1:16384" s="2" customFormat="1" ht="15" hidden="1">
      <c r="A466" s="8">
        <v>462</v>
      </c>
      <c r="B466" s="56"/>
      <c r="C466" s="29" t="s">
        <v>561</v>
      </c>
      <c r="D466" s="8"/>
      <c r="E466" s="8"/>
      <c r="F466" s="9"/>
      <c r="G466" s="9"/>
      <c r="H466" s="26"/>
      <c r="I466" s="8"/>
      <c r="J466" s="9"/>
      <c r="K466" s="15"/>
      <c r="L466" s="16"/>
      <c r="M466" s="9"/>
      <c r="N466" s="4"/>
      <c r="O466" s="8"/>
      <c r="P466" s="9"/>
      <c r="Q466" s="4"/>
      <c r="R466" s="9"/>
      <c r="S466" s="4"/>
      <c r="T466" s="9"/>
      <c r="U466" s="4"/>
      <c r="V466" s="4"/>
      <c r="W466" s="17"/>
      <c r="X466" s="4"/>
      <c r="Y466" s="4"/>
      <c r="Z466" s="17"/>
      <c r="AA466" s="4"/>
      <c r="AB466" s="4"/>
      <c r="AC466" s="4"/>
      <c r="AD466" s="4"/>
      <c r="AE466" s="4"/>
      <c r="AF466" s="4"/>
    </row>
    <row r="467" spans="1:16384" s="2" customFormat="1" ht="30">
      <c r="A467" s="8">
        <v>463</v>
      </c>
      <c r="B467" s="56"/>
      <c r="C467" s="27" t="s">
        <v>562</v>
      </c>
      <c r="D467" s="8" t="s">
        <v>548</v>
      </c>
      <c r="E467" s="8" t="s">
        <v>42</v>
      </c>
      <c r="F467" s="9" t="s">
        <v>66</v>
      </c>
      <c r="G467" s="9" t="s">
        <v>66</v>
      </c>
      <c r="H467" s="26" t="s">
        <v>240</v>
      </c>
      <c r="I467" s="8" t="s">
        <v>241</v>
      </c>
      <c r="J467" s="9">
        <v>45021</v>
      </c>
      <c r="K467" s="58" t="s">
        <v>528</v>
      </c>
      <c r="L467" s="16" t="s">
        <v>317</v>
      </c>
      <c r="M467" s="9">
        <f t="shared" si="167"/>
        <v>45031</v>
      </c>
      <c r="N467" s="4"/>
      <c r="O467" s="8" t="s">
        <v>47</v>
      </c>
      <c r="P467" s="9">
        <f t="shared" si="168"/>
        <v>45027</v>
      </c>
      <c r="Q467" s="4"/>
      <c r="R467" s="9">
        <f t="shared" si="169"/>
        <v>45030</v>
      </c>
      <c r="S467" s="4"/>
      <c r="T467" s="9">
        <f t="shared" si="170"/>
        <v>45033</v>
      </c>
      <c r="U467" s="4"/>
      <c r="V467" s="4"/>
      <c r="W467" s="17">
        <v>45073</v>
      </c>
      <c r="X467" s="4"/>
      <c r="Y467" s="4"/>
      <c r="Z467" s="17">
        <v>45077</v>
      </c>
      <c r="AA467" s="4"/>
      <c r="AB467" s="4"/>
      <c r="AC467" s="4"/>
      <c r="AD467" s="4"/>
      <c r="AE467" s="4"/>
      <c r="AF467" s="4"/>
    </row>
    <row r="468" spans="1:16384" s="2" customFormat="1" ht="30">
      <c r="A468" s="8">
        <v>464</v>
      </c>
      <c r="B468" s="56"/>
      <c r="C468" s="27" t="s">
        <v>563</v>
      </c>
      <c r="D468" s="8" t="s">
        <v>548</v>
      </c>
      <c r="E468" s="8" t="s">
        <v>42</v>
      </c>
      <c r="F468" s="9" t="s">
        <v>66</v>
      </c>
      <c r="G468" s="9" t="s">
        <v>66</v>
      </c>
      <c r="H468" s="26" t="s">
        <v>240</v>
      </c>
      <c r="I468" s="8" t="s">
        <v>241</v>
      </c>
      <c r="J468" s="9">
        <v>45021</v>
      </c>
      <c r="K468" s="58"/>
      <c r="L468" s="16" t="s">
        <v>317</v>
      </c>
      <c r="M468" s="9">
        <f t="shared" si="167"/>
        <v>45031</v>
      </c>
      <c r="N468" s="4"/>
      <c r="O468" s="8" t="s">
        <v>47</v>
      </c>
      <c r="P468" s="9">
        <f t="shared" si="168"/>
        <v>45027</v>
      </c>
      <c r="Q468" s="4"/>
      <c r="R468" s="9">
        <f t="shared" si="169"/>
        <v>45030</v>
      </c>
      <c r="S468" s="4"/>
      <c r="T468" s="9">
        <f t="shared" si="170"/>
        <v>45033</v>
      </c>
      <c r="U468" s="4"/>
      <c r="V468" s="4"/>
      <c r="W468" s="17">
        <v>45073</v>
      </c>
      <c r="X468" s="4"/>
      <c r="Y468" s="4"/>
      <c r="Z468" s="17">
        <v>45077</v>
      </c>
      <c r="AA468" s="4"/>
      <c r="AB468" s="4"/>
      <c r="AC468" s="4"/>
      <c r="AD468" s="4"/>
      <c r="AE468" s="4"/>
      <c r="AF468" s="4"/>
    </row>
    <row r="469" spans="1:16384" s="2" customFormat="1" ht="30">
      <c r="A469" s="8">
        <v>465</v>
      </c>
      <c r="B469" s="56"/>
      <c r="C469" s="27" t="s">
        <v>564</v>
      </c>
      <c r="D469" s="8" t="s">
        <v>548</v>
      </c>
      <c r="E469" s="8" t="s">
        <v>42</v>
      </c>
      <c r="F469" s="9" t="s">
        <v>66</v>
      </c>
      <c r="G469" s="9" t="s">
        <v>66</v>
      </c>
      <c r="H469" s="26" t="s">
        <v>240</v>
      </c>
      <c r="I469" s="8" t="s">
        <v>241</v>
      </c>
      <c r="J469" s="9">
        <v>45021</v>
      </c>
      <c r="K469" s="58"/>
      <c r="L469" s="16" t="s">
        <v>317</v>
      </c>
      <c r="M469" s="9">
        <f t="shared" si="167"/>
        <v>45031</v>
      </c>
      <c r="N469" s="4"/>
      <c r="O469" s="8" t="s">
        <v>47</v>
      </c>
      <c r="P469" s="9">
        <f t="shared" si="168"/>
        <v>45027</v>
      </c>
      <c r="Q469" s="4"/>
      <c r="R469" s="9">
        <f t="shared" si="169"/>
        <v>45030</v>
      </c>
      <c r="S469" s="4"/>
      <c r="T469" s="9">
        <f t="shared" si="170"/>
        <v>45033</v>
      </c>
      <c r="U469" s="4"/>
      <c r="V469" s="4"/>
      <c r="W469" s="17">
        <v>45073</v>
      </c>
      <c r="X469" s="4"/>
      <c r="Y469" s="4"/>
      <c r="Z469" s="17">
        <v>45077</v>
      </c>
      <c r="AA469" s="4"/>
      <c r="AB469" s="4"/>
      <c r="AC469" s="4"/>
      <c r="AD469" s="4"/>
      <c r="AE469" s="4"/>
      <c r="AF469" s="4"/>
    </row>
    <row r="470" spans="1:16384" s="2" customFormat="1" ht="30">
      <c r="A470" s="8">
        <v>466</v>
      </c>
      <c r="B470" s="56"/>
      <c r="C470" s="27" t="s">
        <v>565</v>
      </c>
      <c r="D470" s="8" t="s">
        <v>548</v>
      </c>
      <c r="E470" s="8" t="s">
        <v>42</v>
      </c>
      <c r="F470" s="9" t="s">
        <v>66</v>
      </c>
      <c r="G470" s="9" t="s">
        <v>66</v>
      </c>
      <c r="H470" s="26" t="s">
        <v>240</v>
      </c>
      <c r="I470" s="8" t="s">
        <v>241</v>
      </c>
      <c r="J470" s="9">
        <v>45021</v>
      </c>
      <c r="K470" s="58"/>
      <c r="L470" s="16" t="s">
        <v>317</v>
      </c>
      <c r="M470" s="9">
        <f t="shared" si="167"/>
        <v>45031</v>
      </c>
      <c r="N470" s="4"/>
      <c r="O470" s="8" t="s">
        <v>47</v>
      </c>
      <c r="P470" s="9">
        <f t="shared" si="168"/>
        <v>45027</v>
      </c>
      <c r="Q470" s="4"/>
      <c r="R470" s="9">
        <f t="shared" si="169"/>
        <v>45030</v>
      </c>
      <c r="S470" s="4"/>
      <c r="T470" s="9">
        <f t="shared" si="170"/>
        <v>45033</v>
      </c>
      <c r="U470" s="4"/>
      <c r="V470" s="4"/>
      <c r="W470" s="17">
        <v>45073</v>
      </c>
      <c r="X470" s="4"/>
      <c r="Y470" s="4"/>
      <c r="Z470" s="17">
        <v>45077</v>
      </c>
      <c r="AA470" s="4"/>
      <c r="AB470" s="4"/>
      <c r="AC470" s="4"/>
      <c r="AD470" s="4"/>
      <c r="AE470" s="4"/>
      <c r="AF470" s="4"/>
    </row>
    <row r="471" spans="1:16384" s="2" customFormat="1" ht="15" hidden="1">
      <c r="A471" s="8">
        <v>467</v>
      </c>
      <c r="B471" s="56"/>
      <c r="C471" s="29" t="s">
        <v>566</v>
      </c>
      <c r="D471" s="8"/>
      <c r="E471" s="8"/>
      <c r="F471" s="9"/>
      <c r="G471" s="9"/>
      <c r="H471" s="26"/>
      <c r="I471" s="8"/>
      <c r="J471" s="9"/>
      <c r="K471" s="58"/>
      <c r="L471" s="16"/>
      <c r="M471" s="9"/>
      <c r="N471" s="4"/>
      <c r="O471" s="8"/>
      <c r="P471" s="9"/>
      <c r="Q471" s="4"/>
      <c r="R471" s="9"/>
      <c r="S471" s="4"/>
      <c r="T471" s="9"/>
      <c r="U471" s="4"/>
      <c r="V471" s="4"/>
      <c r="W471" s="17"/>
      <c r="X471" s="4"/>
      <c r="Y471" s="4"/>
      <c r="Z471" s="17"/>
      <c r="AA471" s="4"/>
      <c r="AB471" s="4"/>
      <c r="AC471" s="4"/>
      <c r="AD471" s="4"/>
      <c r="AE471" s="4"/>
      <c r="AF471" s="4"/>
    </row>
    <row r="472" spans="1:16384" s="2" customFormat="1" ht="30">
      <c r="A472" s="8">
        <v>468</v>
      </c>
      <c r="B472" s="56"/>
      <c r="C472" s="27" t="s">
        <v>567</v>
      </c>
      <c r="D472" s="8" t="s">
        <v>548</v>
      </c>
      <c r="E472" s="8" t="s">
        <v>42</v>
      </c>
      <c r="F472" s="9" t="s">
        <v>66</v>
      </c>
      <c r="G472" s="9" t="s">
        <v>66</v>
      </c>
      <c r="H472" s="26" t="s">
        <v>240</v>
      </c>
      <c r="I472" s="8" t="s">
        <v>241</v>
      </c>
      <c r="J472" s="9">
        <v>45021</v>
      </c>
      <c r="K472" s="58"/>
      <c r="L472" s="16" t="s">
        <v>317</v>
      </c>
      <c r="M472" s="9">
        <f t="shared" ref="M472:M475" si="171">J472+10</f>
        <v>45031</v>
      </c>
      <c r="N472" s="4"/>
      <c r="O472" s="8" t="s">
        <v>47</v>
      </c>
      <c r="P472" s="9">
        <f t="shared" ref="P472:P475" si="172">J472+6</f>
        <v>45027</v>
      </c>
      <c r="Q472" s="4"/>
      <c r="R472" s="9">
        <f t="shared" ref="R472:R475" si="173">J472+9</f>
        <v>45030</v>
      </c>
      <c r="S472" s="4"/>
      <c r="T472" s="9">
        <f t="shared" ref="T472:T475" si="174">J472+12</f>
        <v>45033</v>
      </c>
      <c r="U472" s="4"/>
      <c r="V472" s="4"/>
      <c r="W472" s="17">
        <v>45073</v>
      </c>
      <c r="X472" s="4"/>
      <c r="Y472" s="4"/>
      <c r="Z472" s="17">
        <v>45077</v>
      </c>
      <c r="AA472" s="4"/>
      <c r="AB472" s="4"/>
      <c r="AC472" s="4"/>
      <c r="AD472" s="4"/>
      <c r="AE472" s="4"/>
      <c r="AF472" s="4"/>
    </row>
    <row r="473" spans="1:16384" s="2" customFormat="1" ht="30">
      <c r="A473" s="8">
        <v>469</v>
      </c>
      <c r="B473" s="56"/>
      <c r="C473" s="27" t="s">
        <v>568</v>
      </c>
      <c r="D473" s="8" t="s">
        <v>548</v>
      </c>
      <c r="E473" s="8" t="s">
        <v>42</v>
      </c>
      <c r="F473" s="9" t="s">
        <v>66</v>
      </c>
      <c r="G473" s="9" t="s">
        <v>66</v>
      </c>
      <c r="H473" s="26" t="s">
        <v>240</v>
      </c>
      <c r="I473" s="8" t="s">
        <v>241</v>
      </c>
      <c r="J473" s="9">
        <v>45021</v>
      </c>
      <c r="K473" s="58"/>
      <c r="L473" s="16" t="s">
        <v>317</v>
      </c>
      <c r="M473" s="9">
        <f t="shared" si="171"/>
        <v>45031</v>
      </c>
      <c r="N473" s="4"/>
      <c r="O473" s="8" t="s">
        <v>47</v>
      </c>
      <c r="P473" s="9">
        <f t="shared" si="172"/>
        <v>45027</v>
      </c>
      <c r="Q473" s="4"/>
      <c r="R473" s="9">
        <f t="shared" si="173"/>
        <v>45030</v>
      </c>
      <c r="S473" s="4"/>
      <c r="T473" s="9">
        <f t="shared" si="174"/>
        <v>45033</v>
      </c>
      <c r="U473" s="4"/>
      <c r="V473" s="4"/>
      <c r="W473" s="17">
        <v>45073</v>
      </c>
      <c r="X473" s="4"/>
      <c r="Y473" s="4"/>
      <c r="Z473" s="17">
        <v>45077</v>
      </c>
      <c r="AA473" s="4"/>
      <c r="AB473" s="4"/>
      <c r="AC473" s="4"/>
      <c r="AD473" s="4"/>
      <c r="AE473" s="4"/>
      <c r="AF473" s="4"/>
    </row>
    <row r="474" spans="1:16384" s="2" customFormat="1" ht="30">
      <c r="A474" s="8">
        <v>470</v>
      </c>
      <c r="B474" s="56"/>
      <c r="C474" s="27" t="s">
        <v>569</v>
      </c>
      <c r="D474" s="8" t="s">
        <v>548</v>
      </c>
      <c r="E474" s="8" t="s">
        <v>42</v>
      </c>
      <c r="F474" s="9" t="s">
        <v>66</v>
      </c>
      <c r="G474" s="9" t="s">
        <v>66</v>
      </c>
      <c r="H474" s="26" t="s">
        <v>240</v>
      </c>
      <c r="I474" s="8" t="s">
        <v>241</v>
      </c>
      <c r="J474" s="9">
        <v>45021</v>
      </c>
      <c r="K474" s="58"/>
      <c r="L474" s="16" t="s">
        <v>317</v>
      </c>
      <c r="M474" s="9">
        <f t="shared" si="171"/>
        <v>45031</v>
      </c>
      <c r="N474" s="4"/>
      <c r="O474" s="8" t="s">
        <v>47</v>
      </c>
      <c r="P474" s="9">
        <f t="shared" si="172"/>
        <v>45027</v>
      </c>
      <c r="Q474" s="4"/>
      <c r="R474" s="9">
        <f t="shared" si="173"/>
        <v>45030</v>
      </c>
      <c r="S474" s="4"/>
      <c r="T474" s="9">
        <f t="shared" si="174"/>
        <v>45033</v>
      </c>
      <c r="U474" s="4"/>
      <c r="V474" s="4"/>
      <c r="W474" s="17">
        <v>45073</v>
      </c>
      <c r="X474" s="4"/>
      <c r="Y474" s="4"/>
      <c r="Z474" s="17">
        <v>45077</v>
      </c>
      <c r="AA474" s="4"/>
      <c r="AB474" s="4"/>
      <c r="AC474" s="4"/>
      <c r="AD474" s="4"/>
      <c r="AE474" s="4"/>
      <c r="AF474" s="4"/>
    </row>
    <row r="475" spans="1:16384" s="2" customFormat="1" ht="30">
      <c r="A475" s="8">
        <v>471</v>
      </c>
      <c r="B475" s="56"/>
      <c r="C475" s="27" t="s">
        <v>570</v>
      </c>
      <c r="D475" s="8" t="s">
        <v>548</v>
      </c>
      <c r="E475" s="8" t="s">
        <v>42</v>
      </c>
      <c r="F475" s="9" t="s">
        <v>66</v>
      </c>
      <c r="G475" s="9" t="s">
        <v>66</v>
      </c>
      <c r="H475" s="26" t="s">
        <v>240</v>
      </c>
      <c r="I475" s="8" t="s">
        <v>241</v>
      </c>
      <c r="J475" s="9">
        <v>45046</v>
      </c>
      <c r="K475" s="15" t="s">
        <v>571</v>
      </c>
      <c r="L475" s="16" t="s">
        <v>317</v>
      </c>
      <c r="M475" s="9">
        <f t="shared" si="171"/>
        <v>45056</v>
      </c>
      <c r="N475" s="4"/>
      <c r="O475" s="8" t="s">
        <v>47</v>
      </c>
      <c r="P475" s="9">
        <f t="shared" si="172"/>
        <v>45052</v>
      </c>
      <c r="Q475" s="4"/>
      <c r="R475" s="9">
        <f t="shared" si="173"/>
        <v>45055</v>
      </c>
      <c r="S475" s="4"/>
      <c r="T475" s="9">
        <f t="shared" si="174"/>
        <v>45058</v>
      </c>
      <c r="U475" s="4"/>
      <c r="V475" s="4"/>
      <c r="W475" s="17">
        <v>45073</v>
      </c>
      <c r="X475" s="4"/>
      <c r="Y475" s="4"/>
      <c r="Z475" s="17">
        <v>45077</v>
      </c>
      <c r="AA475" s="4"/>
      <c r="AB475" s="4"/>
      <c r="AC475" s="4"/>
      <c r="AD475" s="4"/>
      <c r="AE475" s="4"/>
      <c r="AF475" s="4"/>
    </row>
    <row r="476" spans="1:16384" s="3" customFormat="1" ht="21" hidden="1" customHeight="1">
      <c r="A476" s="52" t="s">
        <v>572</v>
      </c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3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  <c r="BR476" s="54"/>
      <c r="BS476" s="54"/>
      <c r="BT476" s="54"/>
      <c r="BU476" s="54"/>
      <c r="BV476" s="54"/>
      <c r="BW476" s="54"/>
      <c r="BX476" s="54"/>
      <c r="BY476" s="54"/>
      <c r="BZ476" s="54"/>
      <c r="CA476" s="54"/>
      <c r="CB476" s="54"/>
      <c r="CC476" s="54"/>
      <c r="CD476" s="54"/>
      <c r="CE476" s="54"/>
      <c r="CF476" s="54"/>
      <c r="CG476" s="54"/>
      <c r="CH476" s="54"/>
      <c r="CI476" s="54"/>
      <c r="CJ476" s="54"/>
      <c r="CK476" s="54"/>
      <c r="CL476" s="54"/>
      <c r="CM476" s="54"/>
      <c r="CN476" s="54"/>
      <c r="CO476" s="54"/>
      <c r="CP476" s="54"/>
      <c r="CQ476" s="54"/>
      <c r="CR476" s="54"/>
      <c r="CS476" s="54"/>
      <c r="CT476" s="54"/>
      <c r="CU476" s="54"/>
      <c r="CV476" s="54"/>
      <c r="CW476" s="54"/>
      <c r="CX476" s="54"/>
      <c r="CY476" s="54"/>
      <c r="CZ476" s="54"/>
      <c r="DA476" s="54"/>
      <c r="DB476" s="54"/>
      <c r="DC476" s="54"/>
      <c r="DD476" s="54"/>
      <c r="DE476" s="54"/>
      <c r="DF476" s="54"/>
      <c r="DG476" s="54"/>
      <c r="DH476" s="54"/>
      <c r="DI476" s="54"/>
      <c r="DJ476" s="54"/>
      <c r="DK476" s="54"/>
      <c r="DL476" s="54"/>
      <c r="DM476" s="54"/>
      <c r="DN476" s="54"/>
      <c r="DO476" s="54"/>
      <c r="DP476" s="54"/>
      <c r="DQ476" s="54"/>
      <c r="DR476" s="54"/>
      <c r="DS476" s="54"/>
      <c r="DT476" s="54"/>
      <c r="DU476" s="54"/>
      <c r="DV476" s="54"/>
      <c r="DW476" s="54"/>
      <c r="DX476" s="54"/>
      <c r="DY476" s="54"/>
      <c r="DZ476" s="54"/>
      <c r="EA476" s="54"/>
      <c r="EB476" s="54"/>
      <c r="EC476" s="54"/>
      <c r="ED476" s="54"/>
      <c r="EE476" s="54"/>
      <c r="EF476" s="54"/>
      <c r="EG476" s="54"/>
      <c r="EH476" s="54"/>
      <c r="EI476" s="54"/>
      <c r="EJ476" s="54"/>
      <c r="EK476" s="54"/>
      <c r="EL476" s="54"/>
      <c r="EM476" s="54"/>
      <c r="EN476" s="54"/>
      <c r="EO476" s="54"/>
      <c r="EP476" s="54"/>
      <c r="EQ476" s="54"/>
      <c r="ER476" s="54"/>
      <c r="ES476" s="54"/>
      <c r="ET476" s="54"/>
      <c r="EU476" s="54"/>
      <c r="EV476" s="54"/>
      <c r="EW476" s="54"/>
      <c r="EX476" s="54"/>
      <c r="EY476" s="54"/>
      <c r="EZ476" s="54"/>
      <c r="FA476" s="54"/>
      <c r="FB476" s="54"/>
      <c r="FC476" s="54"/>
      <c r="FD476" s="54"/>
      <c r="FE476" s="54"/>
      <c r="FF476" s="54"/>
      <c r="FG476" s="54"/>
      <c r="FH476" s="54"/>
      <c r="FI476" s="54"/>
      <c r="FJ476" s="54"/>
      <c r="FK476" s="54"/>
      <c r="FL476" s="54"/>
      <c r="FM476" s="54"/>
      <c r="FN476" s="54"/>
      <c r="FO476" s="54"/>
      <c r="FP476" s="54"/>
      <c r="FQ476" s="54"/>
      <c r="FR476" s="54"/>
      <c r="FS476" s="54"/>
      <c r="FT476" s="54"/>
      <c r="FU476" s="54"/>
      <c r="FV476" s="54"/>
      <c r="FW476" s="54"/>
      <c r="FX476" s="54"/>
      <c r="FY476" s="54"/>
      <c r="FZ476" s="54"/>
      <c r="GA476" s="54"/>
      <c r="GB476" s="54"/>
      <c r="GC476" s="54"/>
      <c r="GD476" s="54"/>
      <c r="GE476" s="54"/>
      <c r="GF476" s="54"/>
      <c r="GG476" s="54"/>
      <c r="GH476" s="54"/>
      <c r="GI476" s="54"/>
      <c r="GJ476" s="54"/>
      <c r="GK476" s="54"/>
      <c r="GL476" s="54"/>
      <c r="GM476" s="54"/>
      <c r="GN476" s="54"/>
      <c r="GO476" s="54"/>
      <c r="GP476" s="54"/>
      <c r="GQ476" s="54"/>
      <c r="GR476" s="54"/>
      <c r="GS476" s="54"/>
      <c r="GT476" s="54"/>
      <c r="GU476" s="54"/>
      <c r="GV476" s="54"/>
      <c r="GW476" s="54"/>
      <c r="GX476" s="54"/>
      <c r="GY476" s="54"/>
      <c r="GZ476" s="54"/>
      <c r="HA476" s="54"/>
      <c r="HB476" s="54"/>
      <c r="HC476" s="54"/>
      <c r="HD476" s="54"/>
      <c r="HE476" s="54"/>
      <c r="HF476" s="54"/>
      <c r="HG476" s="54"/>
      <c r="HH476" s="54"/>
      <c r="HI476" s="54"/>
      <c r="HJ476" s="54"/>
      <c r="HK476" s="54"/>
      <c r="HL476" s="54"/>
      <c r="HM476" s="54"/>
      <c r="HN476" s="54"/>
      <c r="HO476" s="54"/>
      <c r="HP476" s="54"/>
      <c r="HQ476" s="54"/>
      <c r="HR476" s="54"/>
      <c r="HS476" s="54"/>
      <c r="HT476" s="54"/>
      <c r="HU476" s="54"/>
      <c r="HV476" s="54"/>
      <c r="HW476" s="54"/>
      <c r="HX476" s="54"/>
      <c r="HY476" s="54"/>
      <c r="HZ476" s="54"/>
      <c r="IA476" s="54"/>
      <c r="IB476" s="54"/>
      <c r="IC476" s="54"/>
      <c r="ID476" s="54"/>
      <c r="IE476" s="54"/>
      <c r="IF476" s="54"/>
      <c r="IG476" s="54"/>
      <c r="IH476" s="54"/>
      <c r="II476" s="54"/>
      <c r="IJ476" s="54"/>
      <c r="IK476" s="54"/>
      <c r="IL476" s="54"/>
      <c r="IM476" s="54"/>
      <c r="IN476" s="54"/>
      <c r="IO476" s="54"/>
      <c r="IP476" s="54"/>
      <c r="IQ476" s="54"/>
      <c r="IR476" s="54"/>
      <c r="IS476" s="54"/>
      <c r="IT476" s="54"/>
      <c r="IU476" s="54"/>
      <c r="IV476" s="54"/>
      <c r="IW476" s="54"/>
      <c r="IX476" s="54"/>
      <c r="IY476" s="54"/>
      <c r="IZ476" s="54"/>
      <c r="JA476" s="54"/>
      <c r="JB476" s="54"/>
      <c r="JC476" s="54"/>
      <c r="JD476" s="54"/>
      <c r="JE476" s="54"/>
      <c r="JF476" s="54"/>
      <c r="JG476" s="54"/>
      <c r="JH476" s="54"/>
      <c r="JI476" s="54"/>
      <c r="JJ476" s="54"/>
      <c r="JK476" s="54"/>
      <c r="JL476" s="54"/>
      <c r="JM476" s="54"/>
      <c r="JN476" s="54"/>
      <c r="JO476" s="54"/>
      <c r="JP476" s="54"/>
      <c r="JQ476" s="54"/>
      <c r="JR476" s="54"/>
      <c r="JS476" s="54"/>
      <c r="JT476" s="54"/>
      <c r="JU476" s="54"/>
      <c r="JV476" s="54"/>
      <c r="JW476" s="54"/>
      <c r="JX476" s="54"/>
      <c r="JY476" s="54"/>
      <c r="JZ476" s="54"/>
      <c r="KA476" s="54"/>
      <c r="KB476" s="54"/>
      <c r="KC476" s="54"/>
      <c r="KD476" s="54"/>
      <c r="KE476" s="54"/>
      <c r="KF476" s="54"/>
      <c r="KG476" s="54"/>
      <c r="KH476" s="54"/>
      <c r="KI476" s="54"/>
      <c r="KJ476" s="54"/>
      <c r="KK476" s="54"/>
      <c r="KL476" s="54"/>
      <c r="KM476" s="54"/>
      <c r="KN476" s="54"/>
      <c r="KO476" s="54"/>
      <c r="KP476" s="54"/>
      <c r="KQ476" s="54"/>
      <c r="KR476" s="54"/>
      <c r="KS476" s="54"/>
      <c r="KT476" s="54"/>
      <c r="KU476" s="54"/>
      <c r="KV476" s="54"/>
      <c r="KW476" s="54"/>
      <c r="KX476" s="54"/>
      <c r="KY476" s="54"/>
      <c r="KZ476" s="54"/>
      <c r="LA476" s="54"/>
      <c r="LB476" s="54"/>
      <c r="LC476" s="54"/>
      <c r="LD476" s="54"/>
      <c r="LE476" s="54"/>
      <c r="LF476" s="54"/>
      <c r="LG476" s="54"/>
      <c r="LH476" s="54"/>
      <c r="LI476" s="54"/>
      <c r="LJ476" s="54"/>
      <c r="LK476" s="54"/>
      <c r="LL476" s="54"/>
      <c r="LM476" s="54"/>
      <c r="LN476" s="54"/>
      <c r="LO476" s="54"/>
      <c r="LP476" s="54"/>
      <c r="LQ476" s="54"/>
      <c r="LR476" s="54"/>
      <c r="LS476" s="54"/>
      <c r="LT476" s="54"/>
      <c r="LU476" s="54"/>
      <c r="LV476" s="54"/>
      <c r="LW476" s="54"/>
      <c r="LX476" s="54"/>
      <c r="LY476" s="54"/>
      <c r="LZ476" s="54"/>
      <c r="MA476" s="54"/>
      <c r="MB476" s="54"/>
      <c r="MC476" s="54"/>
      <c r="MD476" s="54"/>
      <c r="ME476" s="54"/>
      <c r="MF476" s="54"/>
      <c r="MG476" s="54"/>
      <c r="MH476" s="54"/>
      <c r="MI476" s="54"/>
      <c r="MJ476" s="54"/>
      <c r="MK476" s="54"/>
      <c r="ML476" s="54"/>
      <c r="MM476" s="54"/>
      <c r="MN476" s="54"/>
      <c r="MO476" s="54"/>
      <c r="MP476" s="54"/>
      <c r="MQ476" s="54"/>
      <c r="MR476" s="54"/>
      <c r="MS476" s="54"/>
      <c r="MT476" s="54"/>
      <c r="MU476" s="54"/>
      <c r="MV476" s="54"/>
      <c r="MW476" s="54"/>
      <c r="MX476" s="54"/>
      <c r="MY476" s="54"/>
      <c r="MZ476" s="54"/>
      <c r="NA476" s="54"/>
      <c r="NB476" s="54"/>
      <c r="NC476" s="54"/>
      <c r="ND476" s="54"/>
      <c r="NE476" s="54"/>
      <c r="NF476" s="54"/>
      <c r="NG476" s="54"/>
      <c r="NH476" s="54"/>
      <c r="NI476" s="54"/>
      <c r="NJ476" s="54"/>
      <c r="NK476" s="54"/>
      <c r="NL476" s="54"/>
      <c r="NM476" s="54"/>
      <c r="NN476" s="54"/>
      <c r="NO476" s="54"/>
      <c r="NP476" s="54"/>
      <c r="NQ476" s="54"/>
      <c r="NR476" s="54"/>
      <c r="NS476" s="54"/>
      <c r="NT476" s="54"/>
      <c r="NU476" s="54"/>
      <c r="NV476" s="54"/>
      <c r="NW476" s="54"/>
      <c r="NX476" s="54"/>
      <c r="NY476" s="54"/>
      <c r="NZ476" s="54"/>
      <c r="OA476" s="54"/>
      <c r="OB476" s="54"/>
      <c r="OC476" s="54"/>
      <c r="OD476" s="54"/>
      <c r="OE476" s="54"/>
      <c r="OF476" s="54"/>
      <c r="OG476" s="54"/>
      <c r="OH476" s="54"/>
      <c r="OI476" s="54"/>
      <c r="OJ476" s="54"/>
      <c r="OK476" s="54"/>
      <c r="OL476" s="54"/>
      <c r="OM476" s="54"/>
      <c r="ON476" s="54"/>
      <c r="OO476" s="54"/>
      <c r="OP476" s="54"/>
      <c r="OQ476" s="54"/>
      <c r="OR476" s="54"/>
      <c r="OS476" s="54"/>
      <c r="OT476" s="54"/>
      <c r="OU476" s="54"/>
      <c r="OV476" s="54"/>
      <c r="OW476" s="54"/>
      <c r="OX476" s="54"/>
      <c r="OY476" s="54"/>
      <c r="OZ476" s="54"/>
      <c r="PA476" s="54"/>
      <c r="PB476" s="54"/>
      <c r="PC476" s="54"/>
      <c r="PD476" s="54"/>
      <c r="PE476" s="54"/>
      <c r="PF476" s="54"/>
      <c r="PG476" s="54"/>
      <c r="PH476" s="54"/>
      <c r="PI476" s="54"/>
      <c r="PJ476" s="54"/>
      <c r="PK476" s="54"/>
      <c r="PL476" s="54"/>
      <c r="PM476" s="54"/>
      <c r="PN476" s="54"/>
      <c r="PO476" s="54"/>
      <c r="PP476" s="54"/>
      <c r="PQ476" s="54"/>
      <c r="PR476" s="54"/>
      <c r="PS476" s="54"/>
      <c r="PT476" s="54"/>
      <c r="PU476" s="54"/>
      <c r="PV476" s="54"/>
      <c r="PW476" s="54"/>
      <c r="PX476" s="54"/>
      <c r="PY476" s="54"/>
      <c r="PZ476" s="54"/>
      <c r="QA476" s="54"/>
      <c r="QB476" s="54"/>
      <c r="QC476" s="54"/>
      <c r="QD476" s="54"/>
      <c r="QE476" s="54"/>
      <c r="QF476" s="54"/>
      <c r="QG476" s="54"/>
      <c r="QH476" s="54"/>
      <c r="QI476" s="54"/>
      <c r="QJ476" s="54"/>
      <c r="QK476" s="54"/>
      <c r="QL476" s="54"/>
      <c r="QM476" s="54"/>
      <c r="QN476" s="54"/>
      <c r="QO476" s="54"/>
      <c r="QP476" s="54"/>
      <c r="QQ476" s="54"/>
      <c r="QR476" s="54"/>
      <c r="QS476" s="54"/>
      <c r="QT476" s="54"/>
      <c r="QU476" s="54"/>
      <c r="QV476" s="54"/>
      <c r="QW476" s="54"/>
      <c r="QX476" s="54"/>
      <c r="QY476" s="54"/>
      <c r="QZ476" s="54"/>
      <c r="RA476" s="54"/>
      <c r="RB476" s="54"/>
      <c r="RC476" s="54"/>
      <c r="RD476" s="54"/>
      <c r="RE476" s="54"/>
      <c r="RF476" s="54"/>
      <c r="RG476" s="54"/>
      <c r="RH476" s="54"/>
      <c r="RI476" s="54"/>
      <c r="RJ476" s="54"/>
      <c r="RK476" s="54"/>
      <c r="RL476" s="54"/>
      <c r="RM476" s="54"/>
      <c r="RN476" s="54"/>
      <c r="RO476" s="54"/>
      <c r="RP476" s="54"/>
      <c r="RQ476" s="54"/>
      <c r="RR476" s="54"/>
      <c r="RS476" s="54"/>
      <c r="RT476" s="54"/>
      <c r="RU476" s="54"/>
      <c r="RV476" s="54"/>
      <c r="RW476" s="54"/>
      <c r="RX476" s="54"/>
      <c r="RY476" s="54"/>
      <c r="RZ476" s="54"/>
      <c r="SA476" s="54"/>
      <c r="SB476" s="54"/>
      <c r="SC476" s="54"/>
      <c r="SD476" s="54"/>
      <c r="SE476" s="54"/>
      <c r="SF476" s="54"/>
      <c r="SG476" s="54"/>
      <c r="SH476" s="54"/>
      <c r="SI476" s="54"/>
      <c r="SJ476" s="54"/>
      <c r="SK476" s="54"/>
      <c r="SL476" s="54"/>
      <c r="SM476" s="54"/>
      <c r="SN476" s="54"/>
      <c r="SO476" s="54"/>
      <c r="SP476" s="54"/>
      <c r="SQ476" s="54"/>
      <c r="SR476" s="54"/>
      <c r="SS476" s="54"/>
      <c r="ST476" s="54"/>
      <c r="SU476" s="54"/>
      <c r="SV476" s="54"/>
      <c r="SW476" s="54"/>
      <c r="SX476" s="54"/>
      <c r="SY476" s="54"/>
      <c r="SZ476" s="54"/>
      <c r="TA476" s="54"/>
      <c r="TB476" s="54"/>
      <c r="TC476" s="54"/>
      <c r="TD476" s="54"/>
      <c r="TE476" s="54"/>
      <c r="TF476" s="54"/>
      <c r="TG476" s="54"/>
      <c r="TH476" s="54"/>
      <c r="TI476" s="54"/>
      <c r="TJ476" s="54"/>
      <c r="TK476" s="54"/>
      <c r="TL476" s="54"/>
      <c r="TM476" s="54"/>
      <c r="TN476" s="54"/>
      <c r="TO476" s="54"/>
      <c r="TP476" s="54"/>
      <c r="TQ476" s="54"/>
      <c r="TR476" s="54"/>
      <c r="TS476" s="54"/>
      <c r="TT476" s="54"/>
      <c r="TU476" s="54"/>
      <c r="TV476" s="54"/>
      <c r="TW476" s="54"/>
      <c r="TX476" s="54"/>
      <c r="TY476" s="54"/>
      <c r="TZ476" s="54"/>
      <c r="UA476" s="54"/>
      <c r="UB476" s="54"/>
      <c r="UC476" s="54"/>
      <c r="UD476" s="54"/>
      <c r="UE476" s="54"/>
      <c r="UF476" s="54"/>
      <c r="UG476" s="54"/>
      <c r="UH476" s="54"/>
      <c r="UI476" s="54"/>
      <c r="UJ476" s="54"/>
      <c r="UK476" s="54"/>
      <c r="UL476" s="54"/>
      <c r="UM476" s="54"/>
      <c r="UN476" s="54"/>
      <c r="UO476" s="54"/>
      <c r="UP476" s="54"/>
      <c r="UQ476" s="54"/>
      <c r="UR476" s="54"/>
      <c r="US476" s="54"/>
      <c r="UT476" s="54"/>
      <c r="UU476" s="54"/>
      <c r="UV476" s="54"/>
      <c r="UW476" s="54"/>
      <c r="UX476" s="54"/>
      <c r="UY476" s="54"/>
      <c r="UZ476" s="54"/>
      <c r="VA476" s="54"/>
      <c r="VB476" s="54"/>
      <c r="VC476" s="54"/>
      <c r="VD476" s="54"/>
      <c r="VE476" s="54"/>
      <c r="VF476" s="54"/>
      <c r="VG476" s="54"/>
      <c r="VH476" s="54"/>
      <c r="VI476" s="54"/>
      <c r="VJ476" s="54"/>
      <c r="VK476" s="54"/>
      <c r="VL476" s="54"/>
      <c r="VM476" s="54"/>
      <c r="VN476" s="54"/>
      <c r="VO476" s="54"/>
      <c r="VP476" s="54"/>
      <c r="VQ476" s="54"/>
      <c r="VR476" s="54"/>
      <c r="VS476" s="54"/>
      <c r="VT476" s="54"/>
      <c r="VU476" s="54"/>
      <c r="VV476" s="54"/>
      <c r="VW476" s="54"/>
      <c r="VX476" s="54"/>
      <c r="VY476" s="54"/>
      <c r="VZ476" s="54"/>
      <c r="WA476" s="54"/>
      <c r="WB476" s="54"/>
      <c r="WC476" s="54"/>
      <c r="WD476" s="54"/>
      <c r="WE476" s="54"/>
      <c r="WF476" s="54"/>
      <c r="WG476" s="54"/>
      <c r="WH476" s="54"/>
      <c r="WI476" s="54"/>
      <c r="WJ476" s="54"/>
      <c r="WK476" s="54"/>
      <c r="WL476" s="54"/>
      <c r="WM476" s="54"/>
      <c r="WN476" s="54"/>
      <c r="WO476" s="54"/>
      <c r="WP476" s="54"/>
      <c r="WQ476" s="54"/>
      <c r="WR476" s="54"/>
      <c r="WS476" s="54"/>
      <c r="WT476" s="54"/>
      <c r="WU476" s="54"/>
      <c r="WV476" s="54"/>
      <c r="WW476" s="54"/>
      <c r="WX476" s="54"/>
      <c r="WY476" s="54"/>
      <c r="WZ476" s="54"/>
      <c r="XA476" s="54"/>
      <c r="XB476" s="54"/>
      <c r="XC476" s="54"/>
      <c r="XD476" s="54"/>
      <c r="XE476" s="54"/>
      <c r="XF476" s="54"/>
      <c r="XG476" s="54"/>
      <c r="XH476" s="54"/>
      <c r="XI476" s="54"/>
      <c r="XJ476" s="54"/>
      <c r="XK476" s="54"/>
      <c r="XL476" s="54"/>
      <c r="XM476" s="54"/>
      <c r="XN476" s="54"/>
      <c r="XO476" s="54"/>
      <c r="XP476" s="54"/>
      <c r="XQ476" s="54"/>
      <c r="XR476" s="54"/>
      <c r="XS476" s="54"/>
      <c r="XT476" s="54"/>
      <c r="XU476" s="54"/>
      <c r="XV476" s="54"/>
      <c r="XW476" s="54"/>
      <c r="XX476" s="54"/>
      <c r="XY476" s="54"/>
      <c r="XZ476" s="54"/>
      <c r="YA476" s="54"/>
      <c r="YB476" s="54"/>
      <c r="YC476" s="54"/>
      <c r="YD476" s="54"/>
      <c r="YE476" s="54"/>
      <c r="YF476" s="54"/>
      <c r="YG476" s="54"/>
      <c r="YH476" s="54"/>
      <c r="YI476" s="54"/>
      <c r="YJ476" s="54"/>
      <c r="YK476" s="54"/>
      <c r="YL476" s="54"/>
      <c r="YM476" s="54"/>
      <c r="YN476" s="54"/>
      <c r="YO476" s="54"/>
      <c r="YP476" s="54"/>
      <c r="YQ476" s="54"/>
      <c r="YR476" s="54"/>
      <c r="YS476" s="54"/>
      <c r="YT476" s="54"/>
      <c r="YU476" s="54"/>
      <c r="YV476" s="54"/>
      <c r="YW476" s="54"/>
      <c r="YX476" s="54"/>
      <c r="YY476" s="54"/>
      <c r="YZ476" s="54"/>
      <c r="ZA476" s="54"/>
      <c r="ZB476" s="54"/>
      <c r="ZC476" s="54"/>
      <c r="ZD476" s="54"/>
      <c r="ZE476" s="54"/>
      <c r="ZF476" s="54"/>
      <c r="ZG476" s="54"/>
      <c r="ZH476" s="54"/>
      <c r="ZI476" s="54"/>
      <c r="ZJ476" s="54"/>
      <c r="ZK476" s="54"/>
      <c r="ZL476" s="54"/>
      <c r="ZM476" s="54"/>
      <c r="ZN476" s="54"/>
      <c r="ZO476" s="54"/>
      <c r="ZP476" s="54"/>
      <c r="ZQ476" s="54"/>
      <c r="ZR476" s="54"/>
      <c r="ZS476" s="54"/>
      <c r="ZT476" s="54"/>
      <c r="ZU476" s="54"/>
      <c r="ZV476" s="54"/>
      <c r="ZW476" s="54"/>
      <c r="ZX476" s="54"/>
      <c r="ZY476" s="54"/>
      <c r="ZZ476" s="54"/>
      <c r="AAA476" s="54"/>
      <c r="AAB476" s="54"/>
      <c r="AAC476" s="54"/>
      <c r="AAD476" s="54"/>
      <c r="AAE476" s="54"/>
      <c r="AAF476" s="54"/>
      <c r="AAG476" s="54"/>
      <c r="AAH476" s="54"/>
      <c r="AAI476" s="54"/>
      <c r="AAJ476" s="54"/>
      <c r="AAK476" s="54"/>
      <c r="AAL476" s="54"/>
      <c r="AAM476" s="54"/>
      <c r="AAN476" s="54"/>
      <c r="AAO476" s="54"/>
      <c r="AAP476" s="54"/>
      <c r="AAQ476" s="54"/>
      <c r="AAR476" s="54"/>
      <c r="AAS476" s="54"/>
      <c r="AAT476" s="54"/>
      <c r="AAU476" s="54"/>
      <c r="AAV476" s="54"/>
      <c r="AAW476" s="54"/>
      <c r="AAX476" s="54"/>
      <c r="AAY476" s="54"/>
      <c r="AAZ476" s="54"/>
      <c r="ABA476" s="54"/>
      <c r="ABB476" s="54"/>
      <c r="ABC476" s="54"/>
      <c r="ABD476" s="54"/>
      <c r="ABE476" s="54"/>
      <c r="ABF476" s="54"/>
      <c r="ABG476" s="54"/>
      <c r="ABH476" s="54"/>
      <c r="ABI476" s="54"/>
      <c r="ABJ476" s="54"/>
      <c r="ABK476" s="54"/>
      <c r="ABL476" s="54"/>
      <c r="ABM476" s="54"/>
      <c r="ABN476" s="54"/>
      <c r="ABO476" s="54"/>
      <c r="ABP476" s="54"/>
      <c r="ABQ476" s="54"/>
      <c r="ABR476" s="54"/>
      <c r="ABS476" s="54"/>
      <c r="ABT476" s="54"/>
      <c r="ABU476" s="54"/>
      <c r="ABV476" s="54"/>
      <c r="ABW476" s="54"/>
      <c r="ABX476" s="54"/>
      <c r="ABY476" s="54"/>
      <c r="ABZ476" s="54"/>
      <c r="ACA476" s="54"/>
      <c r="ACB476" s="54"/>
      <c r="ACC476" s="54"/>
      <c r="ACD476" s="54"/>
      <c r="ACE476" s="54"/>
      <c r="ACF476" s="54"/>
      <c r="ACG476" s="54"/>
      <c r="ACH476" s="54"/>
      <c r="ACI476" s="54"/>
      <c r="ACJ476" s="54"/>
      <c r="ACK476" s="54"/>
      <c r="ACL476" s="54"/>
      <c r="ACM476" s="54"/>
      <c r="ACN476" s="54"/>
      <c r="ACO476" s="54"/>
      <c r="ACP476" s="54"/>
      <c r="ACQ476" s="54"/>
      <c r="ACR476" s="54"/>
      <c r="ACS476" s="54"/>
      <c r="ACT476" s="54"/>
      <c r="ACU476" s="54"/>
      <c r="ACV476" s="54"/>
      <c r="ACW476" s="54"/>
      <c r="ACX476" s="54"/>
      <c r="ACY476" s="54"/>
      <c r="ACZ476" s="54"/>
      <c r="ADA476" s="54"/>
      <c r="ADB476" s="54"/>
      <c r="ADC476" s="54"/>
      <c r="ADD476" s="54"/>
      <c r="ADE476" s="54"/>
      <c r="ADF476" s="54"/>
      <c r="ADG476" s="54"/>
      <c r="ADH476" s="54"/>
      <c r="ADI476" s="54"/>
      <c r="ADJ476" s="54"/>
      <c r="ADK476" s="54"/>
      <c r="ADL476" s="54"/>
      <c r="ADM476" s="54"/>
      <c r="ADN476" s="54"/>
      <c r="ADO476" s="54"/>
      <c r="ADP476" s="54"/>
      <c r="ADQ476" s="54"/>
      <c r="ADR476" s="54"/>
      <c r="ADS476" s="54"/>
      <c r="ADT476" s="54"/>
      <c r="ADU476" s="54"/>
      <c r="ADV476" s="54"/>
      <c r="ADW476" s="54"/>
      <c r="ADX476" s="54"/>
      <c r="ADY476" s="54"/>
      <c r="ADZ476" s="54"/>
      <c r="AEA476" s="54"/>
      <c r="AEB476" s="54"/>
      <c r="AEC476" s="54"/>
      <c r="AED476" s="54"/>
      <c r="AEE476" s="54"/>
      <c r="AEF476" s="54"/>
      <c r="AEG476" s="54"/>
      <c r="AEH476" s="54"/>
      <c r="AEI476" s="54"/>
      <c r="AEJ476" s="54"/>
      <c r="AEK476" s="54"/>
      <c r="AEL476" s="54"/>
      <c r="AEM476" s="54"/>
      <c r="AEN476" s="54"/>
      <c r="AEO476" s="54"/>
      <c r="AEP476" s="54"/>
      <c r="AEQ476" s="54"/>
      <c r="AER476" s="54"/>
      <c r="AES476" s="54"/>
      <c r="AET476" s="54"/>
      <c r="AEU476" s="54"/>
      <c r="AEV476" s="54"/>
      <c r="AEW476" s="54"/>
      <c r="AEX476" s="54"/>
      <c r="AEY476" s="54"/>
      <c r="AEZ476" s="54"/>
      <c r="AFA476" s="54"/>
      <c r="AFB476" s="54"/>
      <c r="AFC476" s="54"/>
      <c r="AFD476" s="54"/>
      <c r="AFE476" s="54"/>
      <c r="AFF476" s="54"/>
      <c r="AFG476" s="54"/>
      <c r="AFH476" s="54"/>
      <c r="AFI476" s="54"/>
      <c r="AFJ476" s="54"/>
      <c r="AFK476" s="54"/>
      <c r="AFL476" s="54"/>
      <c r="AFM476" s="54"/>
      <c r="AFN476" s="54"/>
      <c r="AFO476" s="54"/>
      <c r="AFP476" s="54"/>
      <c r="AFQ476" s="54"/>
      <c r="AFR476" s="54"/>
      <c r="AFS476" s="54"/>
      <c r="AFT476" s="54"/>
      <c r="AFU476" s="54"/>
      <c r="AFV476" s="54"/>
      <c r="AFW476" s="54"/>
      <c r="AFX476" s="54"/>
      <c r="AFY476" s="54"/>
      <c r="AFZ476" s="54"/>
      <c r="AGA476" s="54"/>
      <c r="AGB476" s="54"/>
      <c r="AGC476" s="54"/>
      <c r="AGD476" s="54"/>
      <c r="AGE476" s="54"/>
      <c r="AGF476" s="54"/>
      <c r="AGG476" s="54"/>
      <c r="AGH476" s="54"/>
      <c r="AGI476" s="54"/>
      <c r="AGJ476" s="54"/>
      <c r="AGK476" s="54"/>
      <c r="AGL476" s="54"/>
      <c r="AGM476" s="54"/>
      <c r="AGN476" s="54"/>
      <c r="AGO476" s="54"/>
      <c r="AGP476" s="54"/>
      <c r="AGQ476" s="54"/>
      <c r="AGR476" s="54"/>
      <c r="AGS476" s="54"/>
      <c r="AGT476" s="54"/>
      <c r="AGU476" s="54"/>
      <c r="AGV476" s="54"/>
      <c r="AGW476" s="54"/>
      <c r="AGX476" s="54"/>
      <c r="AGY476" s="54"/>
      <c r="AGZ476" s="54"/>
      <c r="AHA476" s="54"/>
      <c r="AHB476" s="54"/>
      <c r="AHC476" s="54"/>
      <c r="AHD476" s="54"/>
      <c r="AHE476" s="54"/>
      <c r="AHF476" s="54"/>
      <c r="AHG476" s="54"/>
      <c r="AHH476" s="54"/>
      <c r="AHI476" s="54"/>
      <c r="AHJ476" s="54"/>
      <c r="AHK476" s="54"/>
      <c r="AHL476" s="54"/>
      <c r="AHM476" s="54"/>
      <c r="AHN476" s="54"/>
      <c r="AHO476" s="54"/>
      <c r="AHP476" s="54"/>
      <c r="AHQ476" s="54"/>
      <c r="AHR476" s="54"/>
      <c r="AHS476" s="54"/>
      <c r="AHT476" s="54"/>
      <c r="AHU476" s="54"/>
      <c r="AHV476" s="54"/>
      <c r="AHW476" s="54"/>
      <c r="AHX476" s="54"/>
      <c r="AHY476" s="54"/>
      <c r="AHZ476" s="54"/>
      <c r="AIA476" s="54"/>
      <c r="AIB476" s="54"/>
      <c r="AIC476" s="54"/>
      <c r="AID476" s="54"/>
      <c r="AIE476" s="54"/>
      <c r="AIF476" s="54"/>
      <c r="AIG476" s="54"/>
      <c r="AIH476" s="54"/>
      <c r="AII476" s="54"/>
      <c r="AIJ476" s="54"/>
      <c r="AIK476" s="54"/>
      <c r="AIL476" s="54"/>
      <c r="AIM476" s="54"/>
      <c r="AIN476" s="54"/>
      <c r="AIO476" s="54"/>
      <c r="AIP476" s="54"/>
      <c r="AIQ476" s="54"/>
      <c r="AIR476" s="54"/>
      <c r="AIS476" s="54"/>
      <c r="AIT476" s="54"/>
      <c r="AIU476" s="54"/>
      <c r="AIV476" s="54"/>
      <c r="AIW476" s="54"/>
      <c r="AIX476" s="54"/>
      <c r="AIY476" s="54"/>
      <c r="AIZ476" s="54"/>
      <c r="AJA476" s="54"/>
      <c r="AJB476" s="54"/>
      <c r="AJC476" s="54"/>
      <c r="AJD476" s="54"/>
      <c r="AJE476" s="54"/>
      <c r="AJF476" s="54"/>
      <c r="AJG476" s="54"/>
      <c r="AJH476" s="54"/>
      <c r="AJI476" s="54"/>
      <c r="AJJ476" s="54"/>
      <c r="AJK476" s="54"/>
      <c r="AJL476" s="54"/>
      <c r="AJM476" s="54"/>
      <c r="AJN476" s="54"/>
      <c r="AJO476" s="54"/>
      <c r="AJP476" s="54"/>
      <c r="AJQ476" s="54"/>
      <c r="AJR476" s="54"/>
      <c r="AJS476" s="54"/>
      <c r="AJT476" s="54"/>
      <c r="AJU476" s="54"/>
      <c r="AJV476" s="54"/>
      <c r="AJW476" s="54"/>
      <c r="AJX476" s="54"/>
      <c r="AJY476" s="54"/>
      <c r="AJZ476" s="54"/>
      <c r="AKA476" s="54"/>
      <c r="AKB476" s="54"/>
      <c r="AKC476" s="54"/>
      <c r="AKD476" s="54"/>
      <c r="AKE476" s="54"/>
      <c r="AKF476" s="54"/>
      <c r="AKG476" s="54"/>
      <c r="AKH476" s="54"/>
      <c r="AKI476" s="54"/>
      <c r="AKJ476" s="54"/>
      <c r="AKK476" s="54"/>
      <c r="AKL476" s="54"/>
      <c r="AKM476" s="54"/>
      <c r="AKN476" s="54"/>
      <c r="AKO476" s="54"/>
      <c r="AKP476" s="54"/>
      <c r="AKQ476" s="54"/>
      <c r="AKR476" s="54"/>
      <c r="AKS476" s="54"/>
      <c r="AKT476" s="54"/>
      <c r="AKU476" s="54"/>
      <c r="AKV476" s="54"/>
      <c r="AKW476" s="54"/>
      <c r="AKX476" s="54"/>
      <c r="AKY476" s="54"/>
      <c r="AKZ476" s="54"/>
      <c r="ALA476" s="54"/>
      <c r="ALB476" s="54"/>
      <c r="ALC476" s="54"/>
      <c r="ALD476" s="54"/>
      <c r="ALE476" s="54"/>
      <c r="ALF476" s="54"/>
      <c r="ALG476" s="54"/>
      <c r="ALH476" s="54"/>
      <c r="ALI476" s="54"/>
      <c r="ALJ476" s="54"/>
      <c r="ALK476" s="54"/>
      <c r="ALL476" s="54"/>
      <c r="ALM476" s="54"/>
      <c r="ALN476" s="54"/>
      <c r="ALO476" s="54"/>
      <c r="ALP476" s="54"/>
      <c r="ALQ476" s="54"/>
      <c r="ALR476" s="54"/>
      <c r="ALS476" s="54"/>
      <c r="ALT476" s="54"/>
      <c r="ALU476" s="54"/>
      <c r="ALV476" s="54"/>
      <c r="ALW476" s="54"/>
      <c r="ALX476" s="54"/>
      <c r="ALY476" s="54"/>
      <c r="ALZ476" s="54"/>
      <c r="AMA476" s="54"/>
      <c r="AMB476" s="54"/>
      <c r="AMC476" s="54"/>
      <c r="AMD476" s="54"/>
      <c r="AME476" s="54"/>
      <c r="AMF476" s="54"/>
      <c r="AMG476" s="54"/>
      <c r="AMH476" s="54"/>
      <c r="AMI476" s="54"/>
      <c r="AMJ476" s="54"/>
      <c r="AMK476" s="54"/>
      <c r="AML476" s="54"/>
      <c r="AMM476" s="54"/>
      <c r="AMN476" s="54"/>
      <c r="AMO476" s="54"/>
      <c r="AMP476" s="54"/>
      <c r="AMQ476" s="54"/>
      <c r="AMR476" s="54"/>
      <c r="AMS476" s="54"/>
      <c r="AMT476" s="54"/>
      <c r="AMU476" s="54"/>
      <c r="AMV476" s="54"/>
      <c r="AMW476" s="54"/>
      <c r="AMX476" s="54"/>
      <c r="AMY476" s="54"/>
      <c r="AMZ476" s="54"/>
      <c r="ANA476" s="54"/>
      <c r="ANB476" s="54"/>
      <c r="ANC476" s="54"/>
      <c r="AND476" s="54"/>
      <c r="ANE476" s="54"/>
      <c r="ANF476" s="54"/>
      <c r="ANG476" s="54"/>
      <c r="ANH476" s="54"/>
      <c r="ANI476" s="54"/>
      <c r="ANJ476" s="54"/>
      <c r="ANK476" s="54"/>
      <c r="ANL476" s="54"/>
      <c r="ANM476" s="54"/>
      <c r="ANN476" s="54"/>
      <c r="ANO476" s="54"/>
      <c r="ANP476" s="54"/>
      <c r="ANQ476" s="54"/>
      <c r="ANR476" s="54"/>
      <c r="ANS476" s="54"/>
      <c r="ANT476" s="54"/>
      <c r="ANU476" s="54"/>
      <c r="ANV476" s="54"/>
      <c r="ANW476" s="54"/>
      <c r="ANX476" s="54"/>
      <c r="ANY476" s="54"/>
      <c r="ANZ476" s="54"/>
      <c r="AOA476" s="54"/>
      <c r="AOB476" s="54"/>
      <c r="AOC476" s="54"/>
      <c r="AOD476" s="54"/>
      <c r="AOE476" s="54"/>
      <c r="AOF476" s="54"/>
      <c r="AOG476" s="54"/>
      <c r="AOH476" s="54"/>
      <c r="AOI476" s="54"/>
      <c r="AOJ476" s="54"/>
      <c r="AOK476" s="54"/>
      <c r="AOL476" s="54"/>
      <c r="AOM476" s="54"/>
      <c r="AON476" s="54"/>
      <c r="AOO476" s="54"/>
      <c r="AOP476" s="54"/>
      <c r="AOQ476" s="54"/>
      <c r="AOR476" s="54"/>
      <c r="AOS476" s="54"/>
      <c r="AOT476" s="54"/>
      <c r="AOU476" s="54"/>
      <c r="AOV476" s="54"/>
      <c r="AOW476" s="54"/>
      <c r="AOX476" s="54"/>
      <c r="AOY476" s="54"/>
      <c r="AOZ476" s="54"/>
      <c r="APA476" s="54"/>
      <c r="APB476" s="54"/>
      <c r="APC476" s="54"/>
      <c r="APD476" s="54"/>
      <c r="APE476" s="54"/>
      <c r="APF476" s="54"/>
      <c r="APG476" s="54"/>
      <c r="APH476" s="54"/>
      <c r="API476" s="54"/>
      <c r="APJ476" s="54"/>
      <c r="APK476" s="54"/>
      <c r="APL476" s="54"/>
      <c r="APM476" s="54"/>
      <c r="APN476" s="54"/>
      <c r="APO476" s="54"/>
      <c r="APP476" s="54"/>
      <c r="APQ476" s="54"/>
      <c r="APR476" s="54"/>
      <c r="APS476" s="54"/>
      <c r="APT476" s="54"/>
      <c r="APU476" s="54"/>
      <c r="APV476" s="54"/>
      <c r="APW476" s="54"/>
      <c r="APX476" s="54"/>
      <c r="APY476" s="54"/>
      <c r="APZ476" s="54"/>
      <c r="AQA476" s="54"/>
      <c r="AQB476" s="54"/>
      <c r="AQC476" s="54"/>
      <c r="AQD476" s="54"/>
      <c r="AQE476" s="54"/>
      <c r="AQF476" s="54"/>
      <c r="AQG476" s="54"/>
      <c r="AQH476" s="54"/>
      <c r="AQI476" s="54"/>
      <c r="AQJ476" s="54"/>
      <c r="AQK476" s="54"/>
      <c r="AQL476" s="54"/>
      <c r="AQM476" s="54"/>
      <c r="AQN476" s="54"/>
      <c r="AQO476" s="54"/>
      <c r="AQP476" s="54"/>
      <c r="AQQ476" s="54"/>
      <c r="AQR476" s="54"/>
      <c r="AQS476" s="54"/>
      <c r="AQT476" s="54"/>
      <c r="AQU476" s="54"/>
      <c r="AQV476" s="54"/>
      <c r="AQW476" s="54"/>
      <c r="AQX476" s="54"/>
      <c r="AQY476" s="54"/>
      <c r="AQZ476" s="54"/>
      <c r="ARA476" s="54"/>
      <c r="ARB476" s="54"/>
      <c r="ARC476" s="54"/>
      <c r="ARD476" s="54"/>
      <c r="ARE476" s="54"/>
      <c r="ARF476" s="54"/>
      <c r="ARG476" s="54"/>
      <c r="ARH476" s="54"/>
      <c r="ARI476" s="54"/>
      <c r="ARJ476" s="54"/>
      <c r="ARK476" s="54"/>
      <c r="ARL476" s="54"/>
      <c r="ARM476" s="54"/>
      <c r="ARN476" s="54"/>
      <c r="ARO476" s="54"/>
      <c r="ARP476" s="54"/>
      <c r="ARQ476" s="54"/>
      <c r="ARR476" s="54"/>
      <c r="ARS476" s="54"/>
      <c r="ART476" s="54"/>
      <c r="ARU476" s="54"/>
      <c r="ARV476" s="54"/>
      <c r="ARW476" s="54"/>
      <c r="ARX476" s="54"/>
      <c r="ARY476" s="54"/>
      <c r="ARZ476" s="54"/>
      <c r="ASA476" s="54"/>
      <c r="ASB476" s="54"/>
      <c r="ASC476" s="54"/>
      <c r="ASD476" s="54"/>
      <c r="ASE476" s="54"/>
      <c r="ASF476" s="54"/>
      <c r="ASG476" s="54"/>
      <c r="ASH476" s="54"/>
      <c r="ASI476" s="54"/>
      <c r="ASJ476" s="54"/>
      <c r="ASK476" s="54"/>
      <c r="ASL476" s="54"/>
      <c r="ASM476" s="54"/>
      <c r="ASN476" s="54"/>
      <c r="ASO476" s="54"/>
      <c r="ASP476" s="54"/>
      <c r="ASQ476" s="54"/>
      <c r="ASR476" s="54"/>
      <c r="ASS476" s="54"/>
      <c r="AST476" s="54"/>
      <c r="ASU476" s="54"/>
      <c r="ASV476" s="54"/>
      <c r="ASW476" s="54"/>
      <c r="ASX476" s="54"/>
      <c r="ASY476" s="54"/>
      <c r="ASZ476" s="54"/>
      <c r="ATA476" s="54"/>
      <c r="ATB476" s="54"/>
      <c r="ATC476" s="54"/>
      <c r="ATD476" s="54"/>
      <c r="ATE476" s="54"/>
      <c r="ATF476" s="54"/>
      <c r="ATG476" s="54"/>
      <c r="ATH476" s="54"/>
      <c r="ATI476" s="54"/>
      <c r="ATJ476" s="54"/>
      <c r="ATK476" s="54"/>
      <c r="ATL476" s="54"/>
      <c r="ATM476" s="54"/>
      <c r="ATN476" s="54"/>
      <c r="ATO476" s="54"/>
      <c r="ATP476" s="54"/>
      <c r="ATQ476" s="54"/>
      <c r="ATR476" s="54"/>
      <c r="ATS476" s="54"/>
      <c r="ATT476" s="54"/>
      <c r="ATU476" s="54"/>
      <c r="ATV476" s="54"/>
      <c r="ATW476" s="54"/>
      <c r="ATX476" s="54"/>
      <c r="ATY476" s="54"/>
      <c r="ATZ476" s="54"/>
      <c r="AUA476" s="54"/>
      <c r="AUB476" s="54"/>
      <c r="AUC476" s="54"/>
      <c r="AUD476" s="54"/>
      <c r="AUE476" s="54"/>
      <c r="AUF476" s="54"/>
      <c r="AUG476" s="54"/>
      <c r="AUH476" s="54"/>
      <c r="AUI476" s="54"/>
      <c r="AUJ476" s="54"/>
      <c r="AUK476" s="54"/>
      <c r="AUL476" s="54"/>
      <c r="AUM476" s="54"/>
      <c r="AUN476" s="54"/>
      <c r="AUO476" s="54"/>
      <c r="AUP476" s="54"/>
      <c r="AUQ476" s="54"/>
      <c r="AUR476" s="54"/>
      <c r="AUS476" s="54"/>
      <c r="AUT476" s="54"/>
      <c r="AUU476" s="54"/>
      <c r="AUV476" s="54"/>
      <c r="AUW476" s="54"/>
      <c r="AUX476" s="54"/>
      <c r="AUY476" s="54"/>
      <c r="AUZ476" s="54"/>
      <c r="AVA476" s="54"/>
      <c r="AVB476" s="54"/>
      <c r="AVC476" s="54"/>
      <c r="AVD476" s="54"/>
      <c r="AVE476" s="54"/>
      <c r="AVF476" s="54"/>
      <c r="AVG476" s="54"/>
      <c r="AVH476" s="54"/>
      <c r="AVI476" s="54"/>
      <c r="AVJ476" s="54"/>
      <c r="AVK476" s="54"/>
      <c r="AVL476" s="54"/>
      <c r="AVM476" s="54"/>
      <c r="AVN476" s="54"/>
      <c r="AVO476" s="54"/>
      <c r="AVP476" s="54"/>
      <c r="AVQ476" s="54"/>
      <c r="AVR476" s="54"/>
      <c r="AVS476" s="54"/>
      <c r="AVT476" s="54"/>
      <c r="AVU476" s="54"/>
      <c r="AVV476" s="54"/>
      <c r="AVW476" s="54"/>
      <c r="AVX476" s="54"/>
      <c r="AVY476" s="54"/>
      <c r="AVZ476" s="54"/>
      <c r="AWA476" s="54"/>
      <c r="AWB476" s="54"/>
      <c r="AWC476" s="54"/>
      <c r="AWD476" s="54"/>
      <c r="AWE476" s="54"/>
      <c r="AWF476" s="54"/>
      <c r="AWG476" s="54"/>
      <c r="AWH476" s="54"/>
      <c r="AWI476" s="54"/>
      <c r="AWJ476" s="54"/>
      <c r="AWK476" s="54"/>
      <c r="AWL476" s="54"/>
      <c r="AWM476" s="54"/>
      <c r="AWN476" s="54"/>
      <c r="AWO476" s="54"/>
      <c r="AWP476" s="54"/>
      <c r="AWQ476" s="54"/>
      <c r="AWR476" s="54"/>
      <c r="AWS476" s="54"/>
      <c r="AWT476" s="54"/>
      <c r="AWU476" s="54"/>
      <c r="AWV476" s="54"/>
      <c r="AWW476" s="54"/>
      <c r="AWX476" s="54"/>
      <c r="AWY476" s="54"/>
      <c r="AWZ476" s="54"/>
      <c r="AXA476" s="54"/>
      <c r="AXB476" s="54"/>
      <c r="AXC476" s="54"/>
      <c r="AXD476" s="54"/>
      <c r="AXE476" s="54"/>
      <c r="AXF476" s="54"/>
      <c r="AXG476" s="54"/>
      <c r="AXH476" s="54"/>
      <c r="AXI476" s="54"/>
      <c r="AXJ476" s="54"/>
      <c r="AXK476" s="54"/>
      <c r="AXL476" s="54"/>
      <c r="AXM476" s="54"/>
      <c r="AXN476" s="54"/>
      <c r="AXO476" s="54"/>
      <c r="AXP476" s="54"/>
      <c r="AXQ476" s="54"/>
      <c r="AXR476" s="54"/>
      <c r="AXS476" s="54"/>
      <c r="AXT476" s="54"/>
      <c r="AXU476" s="54"/>
      <c r="AXV476" s="54"/>
      <c r="AXW476" s="54"/>
      <c r="AXX476" s="54"/>
      <c r="AXY476" s="54"/>
      <c r="AXZ476" s="54"/>
      <c r="AYA476" s="54"/>
      <c r="AYB476" s="54"/>
      <c r="AYC476" s="54"/>
      <c r="AYD476" s="54"/>
      <c r="AYE476" s="54"/>
      <c r="AYF476" s="54"/>
      <c r="AYG476" s="54"/>
      <c r="AYH476" s="54"/>
      <c r="AYI476" s="54"/>
      <c r="AYJ476" s="54"/>
      <c r="AYK476" s="54"/>
      <c r="AYL476" s="54"/>
      <c r="AYM476" s="54"/>
      <c r="AYN476" s="54"/>
      <c r="AYO476" s="54"/>
      <c r="AYP476" s="54"/>
      <c r="AYQ476" s="54"/>
      <c r="AYR476" s="54"/>
      <c r="AYS476" s="54"/>
      <c r="AYT476" s="54"/>
      <c r="AYU476" s="54"/>
      <c r="AYV476" s="54"/>
      <c r="AYW476" s="54"/>
      <c r="AYX476" s="54"/>
      <c r="AYY476" s="54"/>
      <c r="AYZ476" s="54"/>
      <c r="AZA476" s="54"/>
      <c r="AZB476" s="54"/>
      <c r="AZC476" s="54"/>
      <c r="AZD476" s="54"/>
      <c r="AZE476" s="54"/>
      <c r="AZF476" s="54"/>
      <c r="AZG476" s="54"/>
      <c r="AZH476" s="54"/>
      <c r="AZI476" s="54"/>
      <c r="AZJ476" s="54"/>
      <c r="AZK476" s="54"/>
      <c r="AZL476" s="54"/>
      <c r="AZM476" s="54"/>
      <c r="AZN476" s="54"/>
      <c r="AZO476" s="54"/>
      <c r="AZP476" s="54"/>
      <c r="AZQ476" s="54"/>
      <c r="AZR476" s="54"/>
      <c r="AZS476" s="54"/>
      <c r="AZT476" s="54"/>
      <c r="AZU476" s="54"/>
      <c r="AZV476" s="54"/>
      <c r="AZW476" s="54"/>
      <c r="AZX476" s="54"/>
      <c r="AZY476" s="54"/>
      <c r="AZZ476" s="54"/>
      <c r="BAA476" s="54"/>
      <c r="BAB476" s="54"/>
      <c r="BAC476" s="54"/>
      <c r="BAD476" s="54"/>
      <c r="BAE476" s="54"/>
      <c r="BAF476" s="54"/>
      <c r="BAG476" s="54"/>
      <c r="BAH476" s="54"/>
      <c r="BAI476" s="54"/>
      <c r="BAJ476" s="54"/>
      <c r="BAK476" s="54"/>
      <c r="BAL476" s="54"/>
      <c r="BAM476" s="54"/>
      <c r="BAN476" s="54"/>
      <c r="BAO476" s="54"/>
      <c r="BAP476" s="54"/>
      <c r="BAQ476" s="54"/>
      <c r="BAR476" s="54"/>
      <c r="BAS476" s="54"/>
      <c r="BAT476" s="54"/>
      <c r="BAU476" s="54"/>
      <c r="BAV476" s="54"/>
      <c r="BAW476" s="54"/>
      <c r="BAX476" s="54"/>
      <c r="BAY476" s="54"/>
      <c r="BAZ476" s="54"/>
      <c r="BBA476" s="54"/>
      <c r="BBB476" s="54"/>
      <c r="BBC476" s="54"/>
      <c r="BBD476" s="54"/>
      <c r="BBE476" s="54"/>
      <c r="BBF476" s="54"/>
      <c r="BBG476" s="54"/>
      <c r="BBH476" s="54"/>
      <c r="BBI476" s="54"/>
      <c r="BBJ476" s="54"/>
      <c r="BBK476" s="54"/>
      <c r="BBL476" s="54"/>
      <c r="BBM476" s="54"/>
      <c r="BBN476" s="54"/>
      <c r="BBO476" s="54"/>
      <c r="BBP476" s="54"/>
      <c r="BBQ476" s="54"/>
      <c r="BBR476" s="54"/>
      <c r="BBS476" s="54"/>
      <c r="BBT476" s="54"/>
      <c r="BBU476" s="54"/>
      <c r="BBV476" s="54"/>
      <c r="BBW476" s="54"/>
      <c r="BBX476" s="54"/>
      <c r="BBY476" s="54"/>
      <c r="BBZ476" s="54"/>
      <c r="BCA476" s="54"/>
      <c r="BCB476" s="54"/>
      <c r="BCC476" s="54"/>
      <c r="BCD476" s="54"/>
      <c r="BCE476" s="54"/>
      <c r="BCF476" s="54"/>
      <c r="BCG476" s="54"/>
      <c r="BCH476" s="54"/>
      <c r="BCI476" s="54"/>
      <c r="BCJ476" s="54"/>
      <c r="BCK476" s="54"/>
      <c r="BCL476" s="54"/>
      <c r="BCM476" s="54"/>
      <c r="BCN476" s="54"/>
      <c r="BCO476" s="54"/>
      <c r="BCP476" s="54"/>
      <c r="BCQ476" s="54"/>
      <c r="BCR476" s="54"/>
      <c r="BCS476" s="54"/>
      <c r="BCT476" s="54"/>
      <c r="BCU476" s="54"/>
      <c r="BCV476" s="54"/>
      <c r="BCW476" s="54"/>
      <c r="BCX476" s="54"/>
      <c r="BCY476" s="54"/>
      <c r="BCZ476" s="54"/>
      <c r="BDA476" s="54"/>
      <c r="BDB476" s="54"/>
      <c r="BDC476" s="54"/>
      <c r="BDD476" s="54"/>
      <c r="BDE476" s="54"/>
      <c r="BDF476" s="54"/>
      <c r="BDG476" s="54"/>
      <c r="BDH476" s="54"/>
      <c r="BDI476" s="54"/>
      <c r="BDJ476" s="54"/>
      <c r="BDK476" s="54"/>
      <c r="BDL476" s="54"/>
      <c r="BDM476" s="54"/>
      <c r="BDN476" s="54"/>
      <c r="BDO476" s="54"/>
      <c r="BDP476" s="54"/>
      <c r="BDQ476" s="54"/>
      <c r="BDR476" s="54"/>
      <c r="BDS476" s="54"/>
      <c r="BDT476" s="54"/>
      <c r="BDU476" s="54"/>
      <c r="BDV476" s="54"/>
      <c r="BDW476" s="54"/>
      <c r="BDX476" s="54"/>
      <c r="BDY476" s="54"/>
      <c r="BDZ476" s="54"/>
      <c r="BEA476" s="54"/>
      <c r="BEB476" s="54"/>
      <c r="BEC476" s="54"/>
      <c r="BED476" s="54"/>
      <c r="BEE476" s="54"/>
      <c r="BEF476" s="54"/>
      <c r="BEG476" s="54"/>
      <c r="BEH476" s="54"/>
      <c r="BEI476" s="54"/>
      <c r="BEJ476" s="54"/>
      <c r="BEK476" s="54"/>
      <c r="BEL476" s="54"/>
      <c r="BEM476" s="54"/>
      <c r="BEN476" s="54"/>
      <c r="BEO476" s="54"/>
      <c r="BEP476" s="54"/>
      <c r="BEQ476" s="54"/>
      <c r="BER476" s="54"/>
      <c r="BES476" s="54"/>
      <c r="BET476" s="54"/>
      <c r="BEU476" s="54"/>
      <c r="BEV476" s="54"/>
      <c r="BEW476" s="54"/>
      <c r="BEX476" s="54"/>
      <c r="BEY476" s="54"/>
      <c r="BEZ476" s="54"/>
      <c r="BFA476" s="54"/>
      <c r="BFB476" s="54"/>
      <c r="BFC476" s="54"/>
      <c r="BFD476" s="54"/>
      <c r="BFE476" s="54"/>
      <c r="BFF476" s="54"/>
      <c r="BFG476" s="54"/>
      <c r="BFH476" s="54"/>
      <c r="BFI476" s="54"/>
      <c r="BFJ476" s="54"/>
      <c r="BFK476" s="54"/>
      <c r="BFL476" s="54"/>
      <c r="BFM476" s="54"/>
      <c r="BFN476" s="54"/>
      <c r="BFO476" s="54"/>
      <c r="BFP476" s="54"/>
      <c r="BFQ476" s="54"/>
      <c r="BFR476" s="54"/>
      <c r="BFS476" s="54"/>
      <c r="BFT476" s="54"/>
      <c r="BFU476" s="54"/>
      <c r="BFV476" s="54"/>
      <c r="BFW476" s="54"/>
      <c r="BFX476" s="54"/>
      <c r="BFY476" s="54"/>
      <c r="BFZ476" s="54"/>
      <c r="BGA476" s="54"/>
      <c r="BGB476" s="54"/>
      <c r="BGC476" s="54"/>
      <c r="BGD476" s="54"/>
      <c r="BGE476" s="54"/>
      <c r="BGF476" s="54"/>
      <c r="BGG476" s="54"/>
      <c r="BGH476" s="54"/>
      <c r="BGI476" s="54"/>
      <c r="BGJ476" s="54"/>
      <c r="BGK476" s="54"/>
      <c r="BGL476" s="54"/>
      <c r="BGM476" s="54"/>
      <c r="BGN476" s="54"/>
      <c r="BGO476" s="54"/>
      <c r="BGP476" s="54"/>
      <c r="BGQ476" s="54"/>
      <c r="BGR476" s="54"/>
      <c r="BGS476" s="54"/>
      <c r="BGT476" s="54"/>
      <c r="BGU476" s="54"/>
      <c r="BGV476" s="54"/>
      <c r="BGW476" s="54"/>
      <c r="BGX476" s="54"/>
      <c r="BGY476" s="54"/>
      <c r="BGZ476" s="54"/>
      <c r="BHA476" s="54"/>
      <c r="BHB476" s="54"/>
      <c r="BHC476" s="54"/>
      <c r="BHD476" s="54"/>
      <c r="BHE476" s="54"/>
      <c r="BHF476" s="54"/>
      <c r="BHG476" s="54"/>
      <c r="BHH476" s="54"/>
      <c r="BHI476" s="54"/>
      <c r="BHJ476" s="54"/>
      <c r="BHK476" s="54"/>
      <c r="BHL476" s="54"/>
      <c r="BHM476" s="54"/>
      <c r="BHN476" s="54"/>
      <c r="BHO476" s="54"/>
      <c r="BHP476" s="54"/>
      <c r="BHQ476" s="54"/>
      <c r="BHR476" s="54"/>
      <c r="BHS476" s="54"/>
      <c r="BHT476" s="54"/>
      <c r="BHU476" s="54"/>
      <c r="BHV476" s="54"/>
      <c r="BHW476" s="54"/>
      <c r="BHX476" s="54"/>
      <c r="BHY476" s="54"/>
      <c r="BHZ476" s="54"/>
      <c r="BIA476" s="54"/>
      <c r="BIB476" s="54"/>
      <c r="BIC476" s="54"/>
      <c r="BID476" s="54"/>
      <c r="BIE476" s="54"/>
      <c r="BIF476" s="54"/>
      <c r="BIG476" s="54"/>
      <c r="BIH476" s="54"/>
      <c r="BII476" s="54"/>
      <c r="BIJ476" s="54"/>
      <c r="BIK476" s="54"/>
      <c r="BIL476" s="54"/>
      <c r="BIM476" s="54"/>
      <c r="BIN476" s="54"/>
      <c r="BIO476" s="54"/>
      <c r="BIP476" s="54"/>
      <c r="BIQ476" s="54"/>
      <c r="BIR476" s="54"/>
      <c r="BIS476" s="54"/>
      <c r="BIT476" s="54"/>
      <c r="BIU476" s="54"/>
      <c r="BIV476" s="54"/>
      <c r="BIW476" s="54"/>
      <c r="BIX476" s="54"/>
      <c r="BIY476" s="54"/>
      <c r="BIZ476" s="54"/>
      <c r="BJA476" s="54"/>
      <c r="BJB476" s="54"/>
      <c r="BJC476" s="54"/>
      <c r="BJD476" s="54"/>
      <c r="BJE476" s="54"/>
      <c r="BJF476" s="54"/>
      <c r="BJG476" s="54"/>
      <c r="BJH476" s="54"/>
      <c r="BJI476" s="54"/>
      <c r="BJJ476" s="54"/>
      <c r="BJK476" s="54"/>
      <c r="BJL476" s="54"/>
      <c r="BJM476" s="54"/>
      <c r="BJN476" s="54"/>
      <c r="BJO476" s="54"/>
      <c r="BJP476" s="54"/>
      <c r="BJQ476" s="54"/>
      <c r="BJR476" s="54"/>
      <c r="BJS476" s="54"/>
      <c r="BJT476" s="54"/>
      <c r="BJU476" s="54"/>
      <c r="BJV476" s="54"/>
      <c r="BJW476" s="54"/>
      <c r="BJX476" s="54"/>
      <c r="BJY476" s="54"/>
      <c r="BJZ476" s="54"/>
      <c r="BKA476" s="54"/>
      <c r="BKB476" s="54"/>
      <c r="BKC476" s="54"/>
      <c r="BKD476" s="54"/>
      <c r="BKE476" s="54"/>
      <c r="BKF476" s="54"/>
      <c r="BKG476" s="54"/>
      <c r="BKH476" s="54"/>
      <c r="BKI476" s="54"/>
      <c r="BKJ476" s="54"/>
      <c r="BKK476" s="54"/>
      <c r="BKL476" s="54"/>
      <c r="BKM476" s="54"/>
      <c r="BKN476" s="54"/>
      <c r="BKO476" s="54"/>
      <c r="BKP476" s="54"/>
      <c r="BKQ476" s="54"/>
      <c r="BKR476" s="54"/>
      <c r="BKS476" s="54"/>
      <c r="BKT476" s="54"/>
      <c r="BKU476" s="54"/>
      <c r="BKV476" s="54"/>
      <c r="BKW476" s="54"/>
      <c r="BKX476" s="54"/>
      <c r="BKY476" s="54"/>
      <c r="BKZ476" s="54"/>
      <c r="BLA476" s="54"/>
      <c r="BLB476" s="54"/>
      <c r="BLC476" s="54"/>
      <c r="BLD476" s="54"/>
      <c r="BLE476" s="54"/>
      <c r="BLF476" s="54"/>
      <c r="BLG476" s="54"/>
      <c r="BLH476" s="54"/>
      <c r="BLI476" s="54"/>
      <c r="BLJ476" s="54"/>
      <c r="BLK476" s="54"/>
      <c r="BLL476" s="54"/>
      <c r="BLM476" s="54"/>
      <c r="BLN476" s="54"/>
      <c r="BLO476" s="54"/>
      <c r="BLP476" s="54"/>
      <c r="BLQ476" s="54"/>
      <c r="BLR476" s="54"/>
      <c r="BLS476" s="54"/>
      <c r="BLT476" s="54"/>
      <c r="BLU476" s="54"/>
      <c r="BLV476" s="54"/>
      <c r="BLW476" s="54"/>
      <c r="BLX476" s="54"/>
      <c r="BLY476" s="54"/>
      <c r="BLZ476" s="54"/>
      <c r="BMA476" s="54"/>
      <c r="BMB476" s="54"/>
      <c r="BMC476" s="54"/>
      <c r="BMD476" s="54"/>
      <c r="BME476" s="54"/>
      <c r="BMF476" s="54"/>
      <c r="BMG476" s="54"/>
      <c r="BMH476" s="54"/>
      <c r="BMI476" s="54"/>
      <c r="BMJ476" s="54"/>
      <c r="BMK476" s="54"/>
      <c r="BML476" s="54"/>
      <c r="BMM476" s="54"/>
      <c r="BMN476" s="54"/>
      <c r="BMO476" s="54"/>
      <c r="BMP476" s="54"/>
      <c r="BMQ476" s="54"/>
      <c r="BMR476" s="54"/>
      <c r="BMS476" s="54"/>
      <c r="BMT476" s="54"/>
      <c r="BMU476" s="54"/>
      <c r="BMV476" s="54"/>
      <c r="BMW476" s="54"/>
      <c r="BMX476" s="54"/>
      <c r="BMY476" s="54"/>
      <c r="BMZ476" s="54"/>
      <c r="BNA476" s="54"/>
      <c r="BNB476" s="54"/>
      <c r="BNC476" s="54"/>
      <c r="BND476" s="54"/>
      <c r="BNE476" s="54"/>
      <c r="BNF476" s="54"/>
      <c r="BNG476" s="54"/>
      <c r="BNH476" s="54"/>
      <c r="BNI476" s="54"/>
      <c r="BNJ476" s="54"/>
      <c r="BNK476" s="54"/>
      <c r="BNL476" s="54"/>
      <c r="BNM476" s="54"/>
      <c r="BNN476" s="54"/>
      <c r="BNO476" s="54"/>
      <c r="BNP476" s="54"/>
      <c r="BNQ476" s="54"/>
      <c r="BNR476" s="54"/>
      <c r="BNS476" s="54"/>
      <c r="BNT476" s="54"/>
      <c r="BNU476" s="54"/>
      <c r="BNV476" s="54"/>
      <c r="BNW476" s="54"/>
      <c r="BNX476" s="54"/>
      <c r="BNY476" s="54"/>
      <c r="BNZ476" s="54"/>
      <c r="BOA476" s="54"/>
      <c r="BOB476" s="54"/>
      <c r="BOC476" s="54"/>
      <c r="BOD476" s="54"/>
      <c r="BOE476" s="54"/>
      <c r="BOF476" s="54"/>
      <c r="BOG476" s="54"/>
      <c r="BOH476" s="54"/>
      <c r="BOI476" s="54"/>
      <c r="BOJ476" s="54"/>
      <c r="BOK476" s="54"/>
      <c r="BOL476" s="54"/>
      <c r="BOM476" s="54"/>
      <c r="BON476" s="54"/>
      <c r="BOO476" s="54"/>
      <c r="BOP476" s="54"/>
      <c r="BOQ476" s="54"/>
      <c r="BOR476" s="54"/>
      <c r="BOS476" s="54"/>
      <c r="BOT476" s="54"/>
      <c r="BOU476" s="54"/>
      <c r="BOV476" s="54"/>
      <c r="BOW476" s="54"/>
      <c r="BOX476" s="54"/>
      <c r="BOY476" s="54"/>
      <c r="BOZ476" s="54"/>
      <c r="BPA476" s="54"/>
      <c r="BPB476" s="54"/>
      <c r="BPC476" s="54"/>
      <c r="BPD476" s="54"/>
      <c r="BPE476" s="54"/>
      <c r="BPF476" s="54"/>
      <c r="BPG476" s="54"/>
      <c r="BPH476" s="54"/>
      <c r="BPI476" s="54"/>
      <c r="BPJ476" s="54"/>
      <c r="BPK476" s="54"/>
      <c r="BPL476" s="54"/>
      <c r="BPM476" s="54"/>
      <c r="BPN476" s="54"/>
      <c r="BPO476" s="54"/>
      <c r="BPP476" s="54"/>
      <c r="BPQ476" s="54"/>
      <c r="BPR476" s="54"/>
      <c r="BPS476" s="54"/>
      <c r="BPT476" s="54"/>
      <c r="BPU476" s="54"/>
      <c r="BPV476" s="54"/>
      <c r="BPW476" s="54"/>
      <c r="BPX476" s="54"/>
      <c r="BPY476" s="54"/>
      <c r="BPZ476" s="54"/>
      <c r="BQA476" s="54"/>
      <c r="BQB476" s="54"/>
      <c r="BQC476" s="54"/>
      <c r="BQD476" s="54"/>
      <c r="BQE476" s="54"/>
      <c r="BQF476" s="54"/>
      <c r="BQG476" s="54"/>
      <c r="BQH476" s="54"/>
      <c r="BQI476" s="54"/>
      <c r="BQJ476" s="54"/>
      <c r="BQK476" s="54"/>
      <c r="BQL476" s="54"/>
      <c r="BQM476" s="54"/>
      <c r="BQN476" s="54"/>
      <c r="BQO476" s="54"/>
      <c r="BQP476" s="54"/>
      <c r="BQQ476" s="54"/>
      <c r="BQR476" s="54"/>
      <c r="BQS476" s="54"/>
      <c r="BQT476" s="54"/>
      <c r="BQU476" s="54"/>
      <c r="BQV476" s="54"/>
      <c r="BQW476" s="54"/>
      <c r="BQX476" s="54"/>
      <c r="BQY476" s="54"/>
      <c r="BQZ476" s="54"/>
      <c r="BRA476" s="54"/>
      <c r="BRB476" s="54"/>
      <c r="BRC476" s="54"/>
      <c r="BRD476" s="54"/>
      <c r="BRE476" s="54"/>
      <c r="BRF476" s="54"/>
      <c r="BRG476" s="54"/>
      <c r="BRH476" s="54"/>
      <c r="BRI476" s="54"/>
      <c r="BRJ476" s="54"/>
      <c r="BRK476" s="54"/>
      <c r="BRL476" s="54"/>
      <c r="BRM476" s="54"/>
      <c r="BRN476" s="54"/>
      <c r="BRO476" s="54"/>
      <c r="BRP476" s="54"/>
      <c r="BRQ476" s="54"/>
      <c r="BRR476" s="54"/>
      <c r="BRS476" s="54"/>
      <c r="BRT476" s="54"/>
      <c r="BRU476" s="54"/>
      <c r="BRV476" s="54"/>
      <c r="BRW476" s="54"/>
      <c r="BRX476" s="54"/>
      <c r="BRY476" s="54"/>
      <c r="BRZ476" s="54"/>
      <c r="BSA476" s="54"/>
      <c r="BSB476" s="54"/>
      <c r="BSC476" s="54"/>
      <c r="BSD476" s="54"/>
      <c r="BSE476" s="54"/>
      <c r="BSF476" s="54"/>
      <c r="BSG476" s="54"/>
      <c r="BSH476" s="54"/>
      <c r="BSI476" s="54"/>
      <c r="BSJ476" s="54"/>
      <c r="BSK476" s="54"/>
      <c r="BSL476" s="54"/>
      <c r="BSM476" s="54"/>
      <c r="BSN476" s="54"/>
      <c r="BSO476" s="54"/>
      <c r="BSP476" s="54"/>
      <c r="BSQ476" s="54"/>
      <c r="BSR476" s="54"/>
      <c r="BSS476" s="54"/>
      <c r="BST476" s="54"/>
      <c r="BSU476" s="54"/>
      <c r="BSV476" s="54"/>
      <c r="BSW476" s="54"/>
      <c r="BSX476" s="54"/>
      <c r="BSY476" s="54"/>
      <c r="BSZ476" s="54"/>
      <c r="BTA476" s="54"/>
      <c r="BTB476" s="54"/>
      <c r="BTC476" s="54"/>
      <c r="BTD476" s="54"/>
      <c r="BTE476" s="54"/>
      <c r="BTF476" s="54"/>
      <c r="BTG476" s="54"/>
      <c r="BTH476" s="54"/>
      <c r="BTI476" s="54"/>
      <c r="BTJ476" s="54"/>
      <c r="BTK476" s="54"/>
      <c r="BTL476" s="54"/>
      <c r="BTM476" s="54"/>
      <c r="BTN476" s="54"/>
      <c r="BTO476" s="54"/>
      <c r="BTP476" s="54"/>
      <c r="BTQ476" s="54"/>
      <c r="BTR476" s="54"/>
      <c r="BTS476" s="54"/>
      <c r="BTT476" s="54"/>
      <c r="BTU476" s="54"/>
      <c r="BTV476" s="54"/>
      <c r="BTW476" s="54"/>
      <c r="BTX476" s="54"/>
      <c r="BTY476" s="54"/>
      <c r="BTZ476" s="54"/>
      <c r="BUA476" s="54"/>
      <c r="BUB476" s="54"/>
      <c r="BUC476" s="54"/>
      <c r="BUD476" s="54"/>
      <c r="BUE476" s="54"/>
      <c r="BUF476" s="54"/>
      <c r="BUG476" s="54"/>
      <c r="BUH476" s="54"/>
      <c r="BUI476" s="54"/>
      <c r="BUJ476" s="54"/>
      <c r="BUK476" s="54"/>
      <c r="BUL476" s="54"/>
      <c r="BUM476" s="54"/>
      <c r="BUN476" s="54"/>
      <c r="BUO476" s="54"/>
      <c r="BUP476" s="54"/>
      <c r="BUQ476" s="54"/>
      <c r="BUR476" s="54"/>
      <c r="BUS476" s="54"/>
      <c r="BUT476" s="54"/>
      <c r="BUU476" s="54"/>
      <c r="BUV476" s="54"/>
      <c r="BUW476" s="54"/>
      <c r="BUX476" s="54"/>
      <c r="BUY476" s="54"/>
      <c r="BUZ476" s="54"/>
      <c r="BVA476" s="54"/>
      <c r="BVB476" s="54"/>
      <c r="BVC476" s="54"/>
      <c r="BVD476" s="54"/>
      <c r="BVE476" s="54"/>
      <c r="BVF476" s="54"/>
      <c r="BVG476" s="54"/>
      <c r="BVH476" s="54"/>
      <c r="BVI476" s="54"/>
      <c r="BVJ476" s="54"/>
      <c r="BVK476" s="54"/>
      <c r="BVL476" s="54"/>
      <c r="BVM476" s="54"/>
      <c r="BVN476" s="54"/>
      <c r="BVO476" s="54"/>
      <c r="BVP476" s="54"/>
      <c r="BVQ476" s="54"/>
      <c r="BVR476" s="54"/>
      <c r="BVS476" s="54"/>
      <c r="BVT476" s="54"/>
      <c r="BVU476" s="54"/>
      <c r="BVV476" s="54"/>
      <c r="BVW476" s="54"/>
      <c r="BVX476" s="54"/>
      <c r="BVY476" s="54"/>
      <c r="BVZ476" s="54"/>
      <c r="BWA476" s="54"/>
      <c r="BWB476" s="54"/>
      <c r="BWC476" s="54"/>
      <c r="BWD476" s="54"/>
      <c r="BWE476" s="54"/>
      <c r="BWF476" s="54"/>
      <c r="BWG476" s="54"/>
      <c r="BWH476" s="54"/>
      <c r="BWI476" s="54"/>
      <c r="BWJ476" s="54"/>
      <c r="BWK476" s="54"/>
      <c r="BWL476" s="54"/>
      <c r="BWM476" s="54"/>
      <c r="BWN476" s="54"/>
      <c r="BWO476" s="54"/>
      <c r="BWP476" s="54"/>
      <c r="BWQ476" s="54"/>
      <c r="BWR476" s="54"/>
      <c r="BWS476" s="54"/>
      <c r="BWT476" s="54"/>
      <c r="BWU476" s="54"/>
      <c r="BWV476" s="54"/>
      <c r="BWW476" s="54"/>
      <c r="BWX476" s="54"/>
      <c r="BWY476" s="54"/>
      <c r="BWZ476" s="54"/>
      <c r="BXA476" s="54"/>
      <c r="BXB476" s="54"/>
      <c r="BXC476" s="54"/>
      <c r="BXD476" s="54"/>
      <c r="BXE476" s="54"/>
      <c r="BXF476" s="54"/>
      <c r="BXG476" s="54"/>
      <c r="BXH476" s="54"/>
      <c r="BXI476" s="54"/>
      <c r="BXJ476" s="54"/>
      <c r="BXK476" s="54"/>
      <c r="BXL476" s="54"/>
      <c r="BXM476" s="54"/>
      <c r="BXN476" s="54"/>
      <c r="BXO476" s="54"/>
      <c r="BXP476" s="54"/>
      <c r="BXQ476" s="54"/>
      <c r="BXR476" s="54"/>
      <c r="BXS476" s="54"/>
      <c r="BXT476" s="54"/>
      <c r="BXU476" s="54"/>
      <c r="BXV476" s="54"/>
      <c r="BXW476" s="54"/>
      <c r="BXX476" s="54"/>
      <c r="BXY476" s="54"/>
      <c r="BXZ476" s="54"/>
      <c r="BYA476" s="54"/>
      <c r="BYB476" s="54"/>
      <c r="BYC476" s="54"/>
      <c r="BYD476" s="54"/>
      <c r="BYE476" s="54"/>
      <c r="BYF476" s="54"/>
      <c r="BYG476" s="54"/>
      <c r="BYH476" s="54"/>
      <c r="BYI476" s="54"/>
      <c r="BYJ476" s="54"/>
      <c r="BYK476" s="54"/>
      <c r="BYL476" s="54"/>
      <c r="BYM476" s="54"/>
      <c r="BYN476" s="54"/>
      <c r="BYO476" s="54"/>
      <c r="BYP476" s="54"/>
      <c r="BYQ476" s="54"/>
      <c r="BYR476" s="54"/>
      <c r="BYS476" s="54"/>
      <c r="BYT476" s="54"/>
      <c r="BYU476" s="54"/>
      <c r="BYV476" s="54"/>
      <c r="BYW476" s="54"/>
      <c r="BYX476" s="54"/>
      <c r="BYY476" s="54"/>
      <c r="BYZ476" s="54"/>
      <c r="BZA476" s="54"/>
      <c r="BZB476" s="54"/>
      <c r="BZC476" s="54"/>
      <c r="BZD476" s="54"/>
      <c r="BZE476" s="54"/>
      <c r="BZF476" s="54"/>
      <c r="BZG476" s="54"/>
      <c r="BZH476" s="54"/>
      <c r="BZI476" s="54"/>
      <c r="BZJ476" s="54"/>
      <c r="BZK476" s="54"/>
      <c r="BZL476" s="54"/>
      <c r="BZM476" s="54"/>
      <c r="BZN476" s="54"/>
      <c r="BZO476" s="54"/>
      <c r="BZP476" s="54"/>
      <c r="BZQ476" s="54"/>
      <c r="BZR476" s="54"/>
      <c r="BZS476" s="54"/>
      <c r="BZT476" s="54"/>
      <c r="BZU476" s="54"/>
      <c r="BZV476" s="54"/>
      <c r="BZW476" s="54"/>
      <c r="BZX476" s="54"/>
      <c r="BZY476" s="54"/>
      <c r="BZZ476" s="54"/>
      <c r="CAA476" s="54"/>
      <c r="CAB476" s="54"/>
      <c r="CAC476" s="54"/>
      <c r="CAD476" s="54"/>
      <c r="CAE476" s="54"/>
      <c r="CAF476" s="54"/>
      <c r="CAG476" s="54"/>
      <c r="CAH476" s="54"/>
      <c r="CAI476" s="54"/>
      <c r="CAJ476" s="54"/>
      <c r="CAK476" s="54"/>
      <c r="CAL476" s="54"/>
      <c r="CAM476" s="54"/>
      <c r="CAN476" s="54"/>
      <c r="CAO476" s="54"/>
      <c r="CAP476" s="54"/>
      <c r="CAQ476" s="54"/>
      <c r="CAR476" s="54"/>
      <c r="CAS476" s="54"/>
      <c r="CAT476" s="54"/>
      <c r="CAU476" s="54"/>
      <c r="CAV476" s="54"/>
      <c r="CAW476" s="54"/>
      <c r="CAX476" s="54"/>
      <c r="CAY476" s="54"/>
      <c r="CAZ476" s="54"/>
      <c r="CBA476" s="54"/>
      <c r="CBB476" s="54"/>
      <c r="CBC476" s="54"/>
      <c r="CBD476" s="54"/>
      <c r="CBE476" s="54"/>
      <c r="CBF476" s="54"/>
      <c r="CBG476" s="54"/>
      <c r="CBH476" s="54"/>
      <c r="CBI476" s="54"/>
      <c r="CBJ476" s="54"/>
      <c r="CBK476" s="54"/>
      <c r="CBL476" s="54"/>
      <c r="CBM476" s="54"/>
      <c r="CBN476" s="54"/>
      <c r="CBO476" s="54"/>
      <c r="CBP476" s="54"/>
      <c r="CBQ476" s="54"/>
      <c r="CBR476" s="54"/>
      <c r="CBS476" s="54"/>
      <c r="CBT476" s="54"/>
      <c r="CBU476" s="54"/>
      <c r="CBV476" s="54"/>
      <c r="CBW476" s="54"/>
      <c r="CBX476" s="54"/>
      <c r="CBY476" s="54"/>
      <c r="CBZ476" s="54"/>
      <c r="CCA476" s="54"/>
      <c r="CCB476" s="54"/>
      <c r="CCC476" s="54"/>
      <c r="CCD476" s="54"/>
      <c r="CCE476" s="54"/>
      <c r="CCF476" s="54"/>
      <c r="CCG476" s="54"/>
      <c r="CCH476" s="54"/>
      <c r="CCI476" s="54"/>
      <c r="CCJ476" s="54"/>
      <c r="CCK476" s="54"/>
      <c r="CCL476" s="54"/>
      <c r="CCM476" s="54"/>
      <c r="CCN476" s="54"/>
      <c r="CCO476" s="54"/>
      <c r="CCP476" s="54"/>
      <c r="CCQ476" s="54"/>
      <c r="CCR476" s="54"/>
      <c r="CCS476" s="54"/>
      <c r="CCT476" s="54"/>
      <c r="CCU476" s="54"/>
      <c r="CCV476" s="54"/>
      <c r="CCW476" s="54"/>
      <c r="CCX476" s="54"/>
      <c r="CCY476" s="54"/>
      <c r="CCZ476" s="54"/>
      <c r="CDA476" s="54"/>
      <c r="CDB476" s="54"/>
      <c r="CDC476" s="54"/>
      <c r="CDD476" s="54"/>
      <c r="CDE476" s="54"/>
      <c r="CDF476" s="54"/>
      <c r="CDG476" s="54"/>
      <c r="CDH476" s="54"/>
      <c r="CDI476" s="54"/>
      <c r="CDJ476" s="54"/>
      <c r="CDK476" s="54"/>
      <c r="CDL476" s="54"/>
      <c r="CDM476" s="54"/>
      <c r="CDN476" s="54"/>
      <c r="CDO476" s="54"/>
      <c r="CDP476" s="54"/>
      <c r="CDQ476" s="54"/>
      <c r="CDR476" s="54"/>
      <c r="CDS476" s="54"/>
      <c r="CDT476" s="54"/>
      <c r="CDU476" s="54"/>
      <c r="CDV476" s="54"/>
      <c r="CDW476" s="54"/>
      <c r="CDX476" s="54"/>
      <c r="CDY476" s="54"/>
      <c r="CDZ476" s="54"/>
      <c r="CEA476" s="54"/>
      <c r="CEB476" s="54"/>
      <c r="CEC476" s="54"/>
      <c r="CED476" s="54"/>
      <c r="CEE476" s="54"/>
      <c r="CEF476" s="54"/>
      <c r="CEG476" s="54"/>
      <c r="CEH476" s="54"/>
      <c r="CEI476" s="54"/>
      <c r="CEJ476" s="54"/>
      <c r="CEK476" s="54"/>
      <c r="CEL476" s="54"/>
      <c r="CEM476" s="54"/>
      <c r="CEN476" s="54"/>
      <c r="CEO476" s="54"/>
      <c r="CEP476" s="54"/>
      <c r="CEQ476" s="54"/>
      <c r="CER476" s="54"/>
      <c r="CES476" s="54"/>
      <c r="CET476" s="54"/>
      <c r="CEU476" s="54"/>
      <c r="CEV476" s="54"/>
      <c r="CEW476" s="54"/>
      <c r="CEX476" s="54"/>
      <c r="CEY476" s="54"/>
      <c r="CEZ476" s="54"/>
      <c r="CFA476" s="54"/>
      <c r="CFB476" s="54"/>
      <c r="CFC476" s="54"/>
      <c r="CFD476" s="54"/>
      <c r="CFE476" s="54"/>
      <c r="CFF476" s="54"/>
      <c r="CFG476" s="54"/>
      <c r="CFH476" s="54"/>
      <c r="CFI476" s="54"/>
      <c r="CFJ476" s="54"/>
      <c r="CFK476" s="54"/>
      <c r="CFL476" s="54"/>
      <c r="CFM476" s="54"/>
      <c r="CFN476" s="54"/>
      <c r="CFO476" s="54"/>
      <c r="CFP476" s="54"/>
      <c r="CFQ476" s="54"/>
      <c r="CFR476" s="54"/>
      <c r="CFS476" s="54"/>
      <c r="CFT476" s="54"/>
      <c r="CFU476" s="54"/>
      <c r="CFV476" s="54"/>
      <c r="CFW476" s="54"/>
      <c r="CFX476" s="54"/>
      <c r="CFY476" s="54"/>
      <c r="CFZ476" s="54"/>
      <c r="CGA476" s="54"/>
      <c r="CGB476" s="54"/>
      <c r="CGC476" s="54"/>
      <c r="CGD476" s="54"/>
      <c r="CGE476" s="54"/>
      <c r="CGF476" s="54"/>
      <c r="CGG476" s="54"/>
      <c r="CGH476" s="54"/>
      <c r="CGI476" s="54"/>
      <c r="CGJ476" s="54"/>
      <c r="CGK476" s="54"/>
      <c r="CGL476" s="54"/>
      <c r="CGM476" s="54"/>
      <c r="CGN476" s="54"/>
      <c r="CGO476" s="54"/>
      <c r="CGP476" s="54"/>
      <c r="CGQ476" s="54"/>
      <c r="CGR476" s="54"/>
      <c r="CGS476" s="54"/>
      <c r="CGT476" s="54"/>
      <c r="CGU476" s="54"/>
      <c r="CGV476" s="54"/>
      <c r="CGW476" s="54"/>
      <c r="CGX476" s="54"/>
      <c r="CGY476" s="54"/>
      <c r="CGZ476" s="54"/>
      <c r="CHA476" s="54"/>
      <c r="CHB476" s="54"/>
      <c r="CHC476" s="54"/>
      <c r="CHD476" s="54"/>
      <c r="CHE476" s="54"/>
      <c r="CHF476" s="54"/>
      <c r="CHG476" s="54"/>
      <c r="CHH476" s="54"/>
      <c r="CHI476" s="54"/>
      <c r="CHJ476" s="54"/>
      <c r="CHK476" s="54"/>
      <c r="CHL476" s="54"/>
      <c r="CHM476" s="54"/>
      <c r="CHN476" s="54"/>
      <c r="CHO476" s="54"/>
      <c r="CHP476" s="54"/>
      <c r="CHQ476" s="54"/>
      <c r="CHR476" s="54"/>
      <c r="CHS476" s="54"/>
      <c r="CHT476" s="54"/>
      <c r="CHU476" s="54"/>
      <c r="CHV476" s="54"/>
      <c r="CHW476" s="54"/>
      <c r="CHX476" s="54"/>
      <c r="CHY476" s="54"/>
      <c r="CHZ476" s="54"/>
      <c r="CIA476" s="54"/>
      <c r="CIB476" s="54"/>
      <c r="CIC476" s="54"/>
      <c r="CID476" s="54"/>
      <c r="CIE476" s="54"/>
      <c r="CIF476" s="54"/>
      <c r="CIG476" s="54"/>
      <c r="CIH476" s="54"/>
      <c r="CII476" s="54"/>
      <c r="CIJ476" s="54"/>
      <c r="CIK476" s="54"/>
      <c r="CIL476" s="54"/>
      <c r="CIM476" s="54"/>
      <c r="CIN476" s="54"/>
      <c r="CIO476" s="54"/>
      <c r="CIP476" s="54"/>
      <c r="CIQ476" s="54"/>
      <c r="CIR476" s="54"/>
      <c r="CIS476" s="54"/>
      <c r="CIT476" s="54"/>
      <c r="CIU476" s="54"/>
      <c r="CIV476" s="54"/>
      <c r="CIW476" s="54"/>
      <c r="CIX476" s="54"/>
      <c r="CIY476" s="54"/>
      <c r="CIZ476" s="54"/>
      <c r="CJA476" s="54"/>
      <c r="CJB476" s="54"/>
      <c r="CJC476" s="54"/>
      <c r="CJD476" s="54"/>
      <c r="CJE476" s="54"/>
      <c r="CJF476" s="54"/>
      <c r="CJG476" s="54"/>
      <c r="CJH476" s="54"/>
      <c r="CJI476" s="54"/>
      <c r="CJJ476" s="54"/>
      <c r="CJK476" s="54"/>
      <c r="CJL476" s="54"/>
      <c r="CJM476" s="54"/>
      <c r="CJN476" s="54"/>
      <c r="CJO476" s="54"/>
      <c r="CJP476" s="54"/>
      <c r="CJQ476" s="54"/>
      <c r="CJR476" s="54"/>
      <c r="CJS476" s="54"/>
      <c r="CJT476" s="54"/>
      <c r="CJU476" s="54"/>
      <c r="CJV476" s="54"/>
      <c r="CJW476" s="54"/>
      <c r="CJX476" s="54"/>
      <c r="CJY476" s="54"/>
      <c r="CJZ476" s="54"/>
      <c r="CKA476" s="54"/>
      <c r="CKB476" s="54"/>
      <c r="CKC476" s="54"/>
      <c r="CKD476" s="54"/>
      <c r="CKE476" s="54"/>
      <c r="CKF476" s="54"/>
      <c r="CKG476" s="54"/>
      <c r="CKH476" s="54"/>
      <c r="CKI476" s="54"/>
      <c r="CKJ476" s="54"/>
      <c r="CKK476" s="54"/>
      <c r="CKL476" s="54"/>
      <c r="CKM476" s="54"/>
      <c r="CKN476" s="54"/>
      <c r="CKO476" s="54"/>
      <c r="CKP476" s="54"/>
      <c r="CKQ476" s="54"/>
      <c r="CKR476" s="54"/>
      <c r="CKS476" s="54"/>
      <c r="CKT476" s="54"/>
      <c r="CKU476" s="54"/>
      <c r="CKV476" s="54"/>
      <c r="CKW476" s="54"/>
      <c r="CKX476" s="54"/>
      <c r="CKY476" s="54"/>
      <c r="CKZ476" s="54"/>
      <c r="CLA476" s="54"/>
      <c r="CLB476" s="54"/>
      <c r="CLC476" s="54"/>
      <c r="CLD476" s="54"/>
      <c r="CLE476" s="54"/>
      <c r="CLF476" s="54"/>
      <c r="CLG476" s="54"/>
      <c r="CLH476" s="54"/>
      <c r="CLI476" s="54"/>
      <c r="CLJ476" s="54"/>
      <c r="CLK476" s="54"/>
      <c r="CLL476" s="54"/>
      <c r="CLM476" s="54"/>
      <c r="CLN476" s="54"/>
      <c r="CLO476" s="54"/>
      <c r="CLP476" s="54"/>
      <c r="CLQ476" s="54"/>
      <c r="CLR476" s="54"/>
      <c r="CLS476" s="54"/>
      <c r="CLT476" s="54"/>
      <c r="CLU476" s="54"/>
      <c r="CLV476" s="54"/>
      <c r="CLW476" s="54"/>
      <c r="CLX476" s="54"/>
      <c r="CLY476" s="54"/>
      <c r="CLZ476" s="54"/>
      <c r="CMA476" s="54"/>
      <c r="CMB476" s="54"/>
      <c r="CMC476" s="54"/>
      <c r="CMD476" s="54"/>
      <c r="CME476" s="54"/>
      <c r="CMF476" s="54"/>
      <c r="CMG476" s="54"/>
      <c r="CMH476" s="54"/>
      <c r="CMI476" s="54"/>
      <c r="CMJ476" s="54"/>
      <c r="CMK476" s="54"/>
      <c r="CML476" s="54"/>
      <c r="CMM476" s="54"/>
      <c r="CMN476" s="54"/>
      <c r="CMO476" s="54"/>
      <c r="CMP476" s="54"/>
      <c r="CMQ476" s="54"/>
      <c r="CMR476" s="54"/>
      <c r="CMS476" s="54"/>
      <c r="CMT476" s="54"/>
      <c r="CMU476" s="54"/>
      <c r="CMV476" s="54"/>
      <c r="CMW476" s="54"/>
      <c r="CMX476" s="54"/>
      <c r="CMY476" s="54"/>
      <c r="CMZ476" s="54"/>
      <c r="CNA476" s="54"/>
      <c r="CNB476" s="54"/>
      <c r="CNC476" s="54"/>
      <c r="CND476" s="54"/>
      <c r="CNE476" s="54"/>
      <c r="CNF476" s="54"/>
      <c r="CNG476" s="54"/>
      <c r="CNH476" s="54"/>
      <c r="CNI476" s="54"/>
      <c r="CNJ476" s="54"/>
      <c r="CNK476" s="54"/>
      <c r="CNL476" s="54"/>
      <c r="CNM476" s="54"/>
      <c r="CNN476" s="54"/>
      <c r="CNO476" s="54"/>
      <c r="CNP476" s="54"/>
      <c r="CNQ476" s="54"/>
      <c r="CNR476" s="54"/>
      <c r="CNS476" s="54"/>
      <c r="CNT476" s="54"/>
      <c r="CNU476" s="54"/>
      <c r="CNV476" s="54"/>
      <c r="CNW476" s="54"/>
      <c r="CNX476" s="54"/>
      <c r="CNY476" s="54"/>
      <c r="CNZ476" s="54"/>
      <c r="COA476" s="54"/>
      <c r="COB476" s="54"/>
      <c r="COC476" s="54"/>
      <c r="COD476" s="54"/>
      <c r="COE476" s="54"/>
      <c r="COF476" s="54"/>
      <c r="COG476" s="54"/>
      <c r="COH476" s="54"/>
      <c r="COI476" s="54"/>
      <c r="COJ476" s="54"/>
      <c r="COK476" s="54"/>
      <c r="COL476" s="54"/>
      <c r="COM476" s="54"/>
      <c r="CON476" s="54"/>
      <c r="COO476" s="54"/>
      <c r="COP476" s="54"/>
      <c r="COQ476" s="54"/>
      <c r="COR476" s="54"/>
      <c r="COS476" s="54"/>
      <c r="COT476" s="54"/>
      <c r="COU476" s="54"/>
      <c r="COV476" s="54"/>
      <c r="COW476" s="54"/>
      <c r="COX476" s="54"/>
      <c r="COY476" s="54"/>
      <c r="COZ476" s="54"/>
      <c r="CPA476" s="54"/>
      <c r="CPB476" s="54"/>
      <c r="CPC476" s="54"/>
      <c r="CPD476" s="54"/>
      <c r="CPE476" s="54"/>
      <c r="CPF476" s="54"/>
      <c r="CPG476" s="54"/>
      <c r="CPH476" s="54"/>
      <c r="CPI476" s="54"/>
      <c r="CPJ476" s="54"/>
      <c r="CPK476" s="54"/>
      <c r="CPL476" s="54"/>
      <c r="CPM476" s="54"/>
      <c r="CPN476" s="54"/>
      <c r="CPO476" s="54"/>
      <c r="CPP476" s="54"/>
      <c r="CPQ476" s="54"/>
      <c r="CPR476" s="54"/>
      <c r="CPS476" s="54"/>
      <c r="CPT476" s="54"/>
      <c r="CPU476" s="54"/>
      <c r="CPV476" s="54"/>
      <c r="CPW476" s="54"/>
      <c r="CPX476" s="54"/>
      <c r="CPY476" s="54"/>
      <c r="CPZ476" s="54"/>
      <c r="CQA476" s="54"/>
      <c r="CQB476" s="54"/>
      <c r="CQC476" s="54"/>
      <c r="CQD476" s="54"/>
      <c r="CQE476" s="54"/>
      <c r="CQF476" s="54"/>
      <c r="CQG476" s="54"/>
      <c r="CQH476" s="54"/>
      <c r="CQI476" s="54"/>
      <c r="CQJ476" s="54"/>
      <c r="CQK476" s="54"/>
      <c r="CQL476" s="54"/>
      <c r="CQM476" s="54"/>
      <c r="CQN476" s="54"/>
      <c r="CQO476" s="54"/>
      <c r="CQP476" s="54"/>
      <c r="CQQ476" s="54"/>
      <c r="CQR476" s="54"/>
      <c r="CQS476" s="54"/>
      <c r="CQT476" s="54"/>
      <c r="CQU476" s="54"/>
      <c r="CQV476" s="54"/>
      <c r="CQW476" s="54"/>
      <c r="CQX476" s="54"/>
      <c r="CQY476" s="54"/>
      <c r="CQZ476" s="54"/>
      <c r="CRA476" s="54"/>
      <c r="CRB476" s="54"/>
      <c r="CRC476" s="54"/>
      <c r="CRD476" s="54"/>
      <c r="CRE476" s="54"/>
      <c r="CRF476" s="54"/>
      <c r="CRG476" s="54"/>
      <c r="CRH476" s="54"/>
      <c r="CRI476" s="54"/>
      <c r="CRJ476" s="54"/>
      <c r="CRK476" s="54"/>
      <c r="CRL476" s="54"/>
      <c r="CRM476" s="54"/>
      <c r="CRN476" s="54"/>
      <c r="CRO476" s="54"/>
      <c r="CRP476" s="54"/>
      <c r="CRQ476" s="54"/>
      <c r="CRR476" s="54"/>
      <c r="CRS476" s="54"/>
      <c r="CRT476" s="54"/>
      <c r="CRU476" s="54"/>
      <c r="CRV476" s="54"/>
      <c r="CRW476" s="54"/>
      <c r="CRX476" s="54"/>
      <c r="CRY476" s="54"/>
      <c r="CRZ476" s="54"/>
      <c r="CSA476" s="54"/>
      <c r="CSB476" s="54"/>
      <c r="CSC476" s="54"/>
      <c r="CSD476" s="54"/>
      <c r="CSE476" s="54"/>
      <c r="CSF476" s="54"/>
      <c r="CSG476" s="54"/>
      <c r="CSH476" s="54"/>
      <c r="CSI476" s="54"/>
      <c r="CSJ476" s="54"/>
      <c r="CSK476" s="54"/>
      <c r="CSL476" s="54"/>
      <c r="CSM476" s="54"/>
      <c r="CSN476" s="54"/>
      <c r="CSO476" s="54"/>
      <c r="CSP476" s="54"/>
      <c r="CSQ476" s="54"/>
      <c r="CSR476" s="54"/>
      <c r="CSS476" s="54"/>
      <c r="CST476" s="54"/>
      <c r="CSU476" s="54"/>
      <c r="CSV476" s="54"/>
      <c r="CSW476" s="54"/>
      <c r="CSX476" s="54"/>
      <c r="CSY476" s="54"/>
      <c r="CSZ476" s="54"/>
      <c r="CTA476" s="54"/>
      <c r="CTB476" s="54"/>
      <c r="CTC476" s="54"/>
      <c r="CTD476" s="54"/>
      <c r="CTE476" s="54"/>
      <c r="CTF476" s="54"/>
      <c r="CTG476" s="54"/>
      <c r="CTH476" s="54"/>
      <c r="CTI476" s="54"/>
      <c r="CTJ476" s="54"/>
      <c r="CTK476" s="54"/>
      <c r="CTL476" s="54"/>
      <c r="CTM476" s="54"/>
      <c r="CTN476" s="54"/>
      <c r="CTO476" s="54"/>
      <c r="CTP476" s="54"/>
      <c r="CTQ476" s="54"/>
      <c r="CTR476" s="54"/>
      <c r="CTS476" s="54"/>
      <c r="CTT476" s="54"/>
      <c r="CTU476" s="54"/>
      <c r="CTV476" s="54"/>
      <c r="CTW476" s="54"/>
      <c r="CTX476" s="54"/>
      <c r="CTY476" s="54"/>
      <c r="CTZ476" s="54"/>
      <c r="CUA476" s="54"/>
      <c r="CUB476" s="54"/>
      <c r="CUC476" s="54"/>
      <c r="CUD476" s="54"/>
      <c r="CUE476" s="54"/>
      <c r="CUF476" s="54"/>
      <c r="CUG476" s="54"/>
      <c r="CUH476" s="54"/>
      <c r="CUI476" s="54"/>
      <c r="CUJ476" s="54"/>
      <c r="CUK476" s="54"/>
      <c r="CUL476" s="54"/>
      <c r="CUM476" s="54"/>
      <c r="CUN476" s="54"/>
      <c r="CUO476" s="54"/>
      <c r="CUP476" s="54"/>
      <c r="CUQ476" s="54"/>
      <c r="CUR476" s="54"/>
      <c r="CUS476" s="54"/>
      <c r="CUT476" s="54"/>
      <c r="CUU476" s="54"/>
      <c r="CUV476" s="54"/>
      <c r="CUW476" s="54"/>
      <c r="CUX476" s="54"/>
      <c r="CUY476" s="54"/>
      <c r="CUZ476" s="54"/>
      <c r="CVA476" s="54"/>
      <c r="CVB476" s="54"/>
      <c r="CVC476" s="54"/>
      <c r="CVD476" s="54"/>
      <c r="CVE476" s="54"/>
      <c r="CVF476" s="54"/>
      <c r="CVG476" s="54"/>
      <c r="CVH476" s="54"/>
      <c r="CVI476" s="54"/>
      <c r="CVJ476" s="54"/>
      <c r="CVK476" s="54"/>
      <c r="CVL476" s="54"/>
      <c r="CVM476" s="54"/>
      <c r="CVN476" s="54"/>
      <c r="CVO476" s="54"/>
      <c r="CVP476" s="54"/>
      <c r="CVQ476" s="54"/>
      <c r="CVR476" s="54"/>
      <c r="CVS476" s="54"/>
      <c r="CVT476" s="54"/>
      <c r="CVU476" s="54"/>
      <c r="CVV476" s="54"/>
      <c r="CVW476" s="54"/>
      <c r="CVX476" s="54"/>
      <c r="CVY476" s="54"/>
      <c r="CVZ476" s="54"/>
      <c r="CWA476" s="54"/>
      <c r="CWB476" s="54"/>
      <c r="CWC476" s="54"/>
      <c r="CWD476" s="54"/>
      <c r="CWE476" s="54"/>
      <c r="CWF476" s="54"/>
      <c r="CWG476" s="54"/>
      <c r="CWH476" s="54"/>
      <c r="CWI476" s="54"/>
      <c r="CWJ476" s="54"/>
      <c r="CWK476" s="54"/>
      <c r="CWL476" s="54"/>
      <c r="CWM476" s="54"/>
      <c r="CWN476" s="54"/>
      <c r="CWO476" s="54"/>
      <c r="CWP476" s="54"/>
      <c r="CWQ476" s="54"/>
      <c r="CWR476" s="54"/>
      <c r="CWS476" s="54"/>
      <c r="CWT476" s="54"/>
      <c r="CWU476" s="54"/>
      <c r="CWV476" s="54"/>
      <c r="CWW476" s="54"/>
      <c r="CWX476" s="54"/>
      <c r="CWY476" s="54"/>
      <c r="CWZ476" s="54"/>
      <c r="CXA476" s="54"/>
      <c r="CXB476" s="54"/>
      <c r="CXC476" s="54"/>
      <c r="CXD476" s="54"/>
      <c r="CXE476" s="54"/>
      <c r="CXF476" s="54"/>
      <c r="CXG476" s="54"/>
      <c r="CXH476" s="54"/>
      <c r="CXI476" s="54"/>
      <c r="CXJ476" s="54"/>
      <c r="CXK476" s="54"/>
      <c r="CXL476" s="54"/>
      <c r="CXM476" s="54"/>
      <c r="CXN476" s="54"/>
      <c r="CXO476" s="54"/>
      <c r="CXP476" s="54"/>
      <c r="CXQ476" s="54"/>
      <c r="CXR476" s="54"/>
      <c r="CXS476" s="54"/>
      <c r="CXT476" s="54"/>
      <c r="CXU476" s="54"/>
      <c r="CXV476" s="54"/>
      <c r="CXW476" s="54"/>
      <c r="CXX476" s="54"/>
      <c r="CXY476" s="54"/>
      <c r="CXZ476" s="54"/>
      <c r="CYA476" s="54"/>
      <c r="CYB476" s="54"/>
      <c r="CYC476" s="54"/>
      <c r="CYD476" s="54"/>
      <c r="CYE476" s="54"/>
      <c r="CYF476" s="54"/>
      <c r="CYG476" s="54"/>
      <c r="CYH476" s="54"/>
      <c r="CYI476" s="54"/>
      <c r="CYJ476" s="54"/>
      <c r="CYK476" s="54"/>
      <c r="CYL476" s="54"/>
      <c r="CYM476" s="54"/>
      <c r="CYN476" s="54"/>
      <c r="CYO476" s="54"/>
      <c r="CYP476" s="54"/>
      <c r="CYQ476" s="54"/>
      <c r="CYR476" s="54"/>
      <c r="CYS476" s="54"/>
      <c r="CYT476" s="54"/>
      <c r="CYU476" s="54"/>
      <c r="CYV476" s="54"/>
      <c r="CYW476" s="54"/>
      <c r="CYX476" s="54"/>
      <c r="CYY476" s="54"/>
      <c r="CYZ476" s="54"/>
      <c r="CZA476" s="54"/>
      <c r="CZB476" s="54"/>
      <c r="CZC476" s="54"/>
      <c r="CZD476" s="54"/>
      <c r="CZE476" s="54"/>
      <c r="CZF476" s="54"/>
      <c r="CZG476" s="54"/>
      <c r="CZH476" s="54"/>
      <c r="CZI476" s="54"/>
      <c r="CZJ476" s="54"/>
      <c r="CZK476" s="54"/>
      <c r="CZL476" s="54"/>
      <c r="CZM476" s="54"/>
      <c r="CZN476" s="54"/>
      <c r="CZO476" s="54"/>
      <c r="CZP476" s="54"/>
      <c r="CZQ476" s="54"/>
      <c r="CZR476" s="54"/>
      <c r="CZS476" s="54"/>
      <c r="CZT476" s="54"/>
      <c r="CZU476" s="54"/>
      <c r="CZV476" s="54"/>
      <c r="CZW476" s="54"/>
      <c r="CZX476" s="54"/>
      <c r="CZY476" s="54"/>
      <c r="CZZ476" s="54"/>
      <c r="DAA476" s="54"/>
      <c r="DAB476" s="54"/>
      <c r="DAC476" s="54"/>
      <c r="DAD476" s="54"/>
      <c r="DAE476" s="54"/>
      <c r="DAF476" s="54"/>
      <c r="DAG476" s="54"/>
      <c r="DAH476" s="54"/>
      <c r="DAI476" s="54"/>
      <c r="DAJ476" s="54"/>
      <c r="DAK476" s="54"/>
      <c r="DAL476" s="54"/>
      <c r="DAM476" s="54"/>
      <c r="DAN476" s="54"/>
      <c r="DAO476" s="54"/>
      <c r="DAP476" s="54"/>
      <c r="DAQ476" s="54"/>
      <c r="DAR476" s="54"/>
      <c r="DAS476" s="54"/>
      <c r="DAT476" s="54"/>
      <c r="DAU476" s="54"/>
      <c r="DAV476" s="54"/>
      <c r="DAW476" s="54"/>
      <c r="DAX476" s="54"/>
      <c r="DAY476" s="54"/>
      <c r="DAZ476" s="54"/>
      <c r="DBA476" s="54"/>
      <c r="DBB476" s="54"/>
      <c r="DBC476" s="54"/>
      <c r="DBD476" s="54"/>
      <c r="DBE476" s="54"/>
      <c r="DBF476" s="54"/>
      <c r="DBG476" s="54"/>
      <c r="DBH476" s="54"/>
      <c r="DBI476" s="54"/>
      <c r="DBJ476" s="54"/>
      <c r="DBK476" s="54"/>
      <c r="DBL476" s="54"/>
      <c r="DBM476" s="54"/>
      <c r="DBN476" s="54"/>
      <c r="DBO476" s="54"/>
      <c r="DBP476" s="54"/>
      <c r="DBQ476" s="54"/>
      <c r="DBR476" s="54"/>
      <c r="DBS476" s="54"/>
      <c r="DBT476" s="54"/>
      <c r="DBU476" s="54"/>
      <c r="DBV476" s="54"/>
      <c r="DBW476" s="54"/>
      <c r="DBX476" s="54"/>
      <c r="DBY476" s="54"/>
      <c r="DBZ476" s="54"/>
      <c r="DCA476" s="54"/>
      <c r="DCB476" s="54"/>
      <c r="DCC476" s="54"/>
      <c r="DCD476" s="54"/>
      <c r="DCE476" s="54"/>
      <c r="DCF476" s="54"/>
      <c r="DCG476" s="54"/>
      <c r="DCH476" s="54"/>
      <c r="DCI476" s="54"/>
      <c r="DCJ476" s="54"/>
      <c r="DCK476" s="54"/>
      <c r="DCL476" s="54"/>
      <c r="DCM476" s="54"/>
      <c r="DCN476" s="54"/>
      <c r="DCO476" s="54"/>
      <c r="DCP476" s="54"/>
      <c r="DCQ476" s="54"/>
      <c r="DCR476" s="54"/>
      <c r="DCS476" s="54"/>
      <c r="DCT476" s="54"/>
      <c r="DCU476" s="54"/>
      <c r="DCV476" s="54"/>
      <c r="DCW476" s="54"/>
      <c r="DCX476" s="54"/>
      <c r="DCY476" s="54"/>
      <c r="DCZ476" s="54"/>
      <c r="DDA476" s="54"/>
      <c r="DDB476" s="54"/>
      <c r="DDC476" s="54"/>
      <c r="DDD476" s="54"/>
      <c r="DDE476" s="54"/>
      <c r="DDF476" s="54"/>
      <c r="DDG476" s="54"/>
      <c r="DDH476" s="54"/>
      <c r="DDI476" s="54"/>
      <c r="DDJ476" s="54"/>
      <c r="DDK476" s="54"/>
      <c r="DDL476" s="54"/>
      <c r="DDM476" s="54"/>
      <c r="DDN476" s="54"/>
      <c r="DDO476" s="54"/>
      <c r="DDP476" s="54"/>
      <c r="DDQ476" s="54"/>
      <c r="DDR476" s="54"/>
      <c r="DDS476" s="54"/>
      <c r="DDT476" s="54"/>
      <c r="DDU476" s="54"/>
      <c r="DDV476" s="54"/>
      <c r="DDW476" s="54"/>
      <c r="DDX476" s="54"/>
      <c r="DDY476" s="54"/>
      <c r="DDZ476" s="54"/>
      <c r="DEA476" s="54"/>
      <c r="DEB476" s="54"/>
      <c r="DEC476" s="54"/>
      <c r="DED476" s="54"/>
      <c r="DEE476" s="54"/>
      <c r="DEF476" s="54"/>
      <c r="DEG476" s="54"/>
      <c r="DEH476" s="54"/>
      <c r="DEI476" s="54"/>
      <c r="DEJ476" s="54"/>
      <c r="DEK476" s="54"/>
      <c r="DEL476" s="54"/>
      <c r="DEM476" s="54"/>
      <c r="DEN476" s="54"/>
      <c r="DEO476" s="54"/>
      <c r="DEP476" s="54"/>
      <c r="DEQ476" s="54"/>
      <c r="DER476" s="54"/>
      <c r="DES476" s="54"/>
      <c r="DET476" s="54"/>
      <c r="DEU476" s="54"/>
      <c r="DEV476" s="54"/>
      <c r="DEW476" s="54"/>
      <c r="DEX476" s="54"/>
      <c r="DEY476" s="54"/>
      <c r="DEZ476" s="54"/>
      <c r="DFA476" s="54"/>
      <c r="DFB476" s="54"/>
      <c r="DFC476" s="54"/>
      <c r="DFD476" s="54"/>
      <c r="DFE476" s="54"/>
      <c r="DFF476" s="54"/>
      <c r="DFG476" s="54"/>
      <c r="DFH476" s="54"/>
      <c r="DFI476" s="54"/>
      <c r="DFJ476" s="54"/>
      <c r="DFK476" s="54"/>
      <c r="DFL476" s="54"/>
      <c r="DFM476" s="54"/>
      <c r="DFN476" s="54"/>
      <c r="DFO476" s="54"/>
      <c r="DFP476" s="54"/>
      <c r="DFQ476" s="54"/>
      <c r="DFR476" s="54"/>
      <c r="DFS476" s="54"/>
      <c r="DFT476" s="54"/>
      <c r="DFU476" s="54"/>
      <c r="DFV476" s="54"/>
      <c r="DFW476" s="54"/>
      <c r="DFX476" s="54"/>
      <c r="DFY476" s="54"/>
      <c r="DFZ476" s="54"/>
      <c r="DGA476" s="54"/>
      <c r="DGB476" s="54"/>
      <c r="DGC476" s="54"/>
      <c r="DGD476" s="54"/>
      <c r="DGE476" s="54"/>
      <c r="DGF476" s="54"/>
      <c r="DGG476" s="54"/>
      <c r="DGH476" s="54"/>
      <c r="DGI476" s="54"/>
      <c r="DGJ476" s="54"/>
      <c r="DGK476" s="54"/>
      <c r="DGL476" s="54"/>
      <c r="DGM476" s="54"/>
      <c r="DGN476" s="54"/>
      <c r="DGO476" s="54"/>
      <c r="DGP476" s="54"/>
      <c r="DGQ476" s="54"/>
      <c r="DGR476" s="54"/>
      <c r="DGS476" s="54"/>
      <c r="DGT476" s="54"/>
      <c r="DGU476" s="54"/>
      <c r="DGV476" s="54"/>
      <c r="DGW476" s="54"/>
      <c r="DGX476" s="54"/>
      <c r="DGY476" s="54"/>
      <c r="DGZ476" s="54"/>
      <c r="DHA476" s="54"/>
      <c r="DHB476" s="54"/>
      <c r="DHC476" s="54"/>
      <c r="DHD476" s="54"/>
      <c r="DHE476" s="54"/>
      <c r="DHF476" s="54"/>
      <c r="DHG476" s="54"/>
      <c r="DHH476" s="54"/>
      <c r="DHI476" s="54"/>
      <c r="DHJ476" s="54"/>
      <c r="DHK476" s="54"/>
      <c r="DHL476" s="54"/>
      <c r="DHM476" s="54"/>
      <c r="DHN476" s="54"/>
      <c r="DHO476" s="54"/>
      <c r="DHP476" s="54"/>
      <c r="DHQ476" s="54"/>
      <c r="DHR476" s="54"/>
      <c r="DHS476" s="54"/>
      <c r="DHT476" s="54"/>
      <c r="DHU476" s="54"/>
      <c r="DHV476" s="54"/>
      <c r="DHW476" s="54"/>
      <c r="DHX476" s="54"/>
      <c r="DHY476" s="54"/>
      <c r="DHZ476" s="54"/>
      <c r="DIA476" s="54"/>
      <c r="DIB476" s="54"/>
      <c r="DIC476" s="54"/>
      <c r="DID476" s="54"/>
      <c r="DIE476" s="54"/>
      <c r="DIF476" s="54"/>
      <c r="DIG476" s="54"/>
      <c r="DIH476" s="54"/>
      <c r="DII476" s="54"/>
      <c r="DIJ476" s="54"/>
      <c r="DIK476" s="54"/>
      <c r="DIL476" s="54"/>
      <c r="DIM476" s="54"/>
      <c r="DIN476" s="54"/>
      <c r="DIO476" s="54"/>
      <c r="DIP476" s="54"/>
      <c r="DIQ476" s="54"/>
      <c r="DIR476" s="54"/>
      <c r="DIS476" s="54"/>
      <c r="DIT476" s="54"/>
      <c r="DIU476" s="54"/>
      <c r="DIV476" s="54"/>
      <c r="DIW476" s="54"/>
      <c r="DIX476" s="54"/>
      <c r="DIY476" s="54"/>
      <c r="DIZ476" s="54"/>
      <c r="DJA476" s="54"/>
      <c r="DJB476" s="54"/>
      <c r="DJC476" s="54"/>
      <c r="DJD476" s="54"/>
      <c r="DJE476" s="54"/>
      <c r="DJF476" s="54"/>
      <c r="DJG476" s="54"/>
      <c r="DJH476" s="54"/>
      <c r="DJI476" s="54"/>
      <c r="DJJ476" s="54"/>
      <c r="DJK476" s="54"/>
      <c r="DJL476" s="54"/>
      <c r="DJM476" s="54"/>
      <c r="DJN476" s="54"/>
      <c r="DJO476" s="54"/>
      <c r="DJP476" s="54"/>
      <c r="DJQ476" s="54"/>
      <c r="DJR476" s="54"/>
      <c r="DJS476" s="54"/>
      <c r="DJT476" s="54"/>
      <c r="DJU476" s="54"/>
      <c r="DJV476" s="54"/>
      <c r="DJW476" s="54"/>
      <c r="DJX476" s="54"/>
      <c r="DJY476" s="54"/>
      <c r="DJZ476" s="54"/>
      <c r="DKA476" s="54"/>
      <c r="DKB476" s="54"/>
      <c r="DKC476" s="54"/>
      <c r="DKD476" s="54"/>
      <c r="DKE476" s="54"/>
      <c r="DKF476" s="54"/>
      <c r="DKG476" s="54"/>
      <c r="DKH476" s="54"/>
      <c r="DKI476" s="54"/>
      <c r="DKJ476" s="54"/>
      <c r="DKK476" s="54"/>
      <c r="DKL476" s="54"/>
      <c r="DKM476" s="54"/>
      <c r="DKN476" s="54"/>
      <c r="DKO476" s="54"/>
      <c r="DKP476" s="54"/>
      <c r="DKQ476" s="54"/>
      <c r="DKR476" s="54"/>
      <c r="DKS476" s="54"/>
      <c r="DKT476" s="54"/>
      <c r="DKU476" s="54"/>
      <c r="DKV476" s="54"/>
      <c r="DKW476" s="54"/>
      <c r="DKX476" s="54"/>
      <c r="DKY476" s="54"/>
      <c r="DKZ476" s="54"/>
      <c r="DLA476" s="54"/>
      <c r="DLB476" s="54"/>
      <c r="DLC476" s="54"/>
      <c r="DLD476" s="54"/>
      <c r="DLE476" s="54"/>
      <c r="DLF476" s="54"/>
      <c r="DLG476" s="54"/>
      <c r="DLH476" s="54"/>
      <c r="DLI476" s="54"/>
      <c r="DLJ476" s="54"/>
      <c r="DLK476" s="54"/>
      <c r="DLL476" s="54"/>
      <c r="DLM476" s="54"/>
      <c r="DLN476" s="54"/>
      <c r="DLO476" s="54"/>
      <c r="DLP476" s="54"/>
      <c r="DLQ476" s="54"/>
      <c r="DLR476" s="54"/>
      <c r="DLS476" s="54"/>
      <c r="DLT476" s="54"/>
      <c r="DLU476" s="54"/>
      <c r="DLV476" s="54"/>
      <c r="DLW476" s="54"/>
      <c r="DLX476" s="54"/>
      <c r="DLY476" s="54"/>
      <c r="DLZ476" s="54"/>
      <c r="DMA476" s="54"/>
      <c r="DMB476" s="54"/>
      <c r="DMC476" s="54"/>
      <c r="DMD476" s="54"/>
      <c r="DME476" s="54"/>
      <c r="DMF476" s="54"/>
      <c r="DMG476" s="54"/>
      <c r="DMH476" s="54"/>
      <c r="DMI476" s="54"/>
      <c r="DMJ476" s="54"/>
      <c r="DMK476" s="54"/>
      <c r="DML476" s="54"/>
      <c r="DMM476" s="54"/>
      <c r="DMN476" s="54"/>
      <c r="DMO476" s="54"/>
      <c r="DMP476" s="54"/>
      <c r="DMQ476" s="54"/>
      <c r="DMR476" s="54"/>
      <c r="DMS476" s="54"/>
      <c r="DMT476" s="54"/>
      <c r="DMU476" s="54"/>
      <c r="DMV476" s="54"/>
      <c r="DMW476" s="54"/>
      <c r="DMX476" s="54"/>
      <c r="DMY476" s="54"/>
      <c r="DMZ476" s="54"/>
      <c r="DNA476" s="54"/>
      <c r="DNB476" s="54"/>
      <c r="DNC476" s="54"/>
      <c r="DND476" s="54"/>
      <c r="DNE476" s="54"/>
      <c r="DNF476" s="54"/>
      <c r="DNG476" s="54"/>
      <c r="DNH476" s="54"/>
      <c r="DNI476" s="54"/>
      <c r="DNJ476" s="54"/>
      <c r="DNK476" s="54"/>
      <c r="DNL476" s="54"/>
      <c r="DNM476" s="54"/>
      <c r="DNN476" s="54"/>
      <c r="DNO476" s="54"/>
      <c r="DNP476" s="54"/>
      <c r="DNQ476" s="54"/>
      <c r="DNR476" s="54"/>
      <c r="DNS476" s="54"/>
      <c r="DNT476" s="54"/>
      <c r="DNU476" s="54"/>
      <c r="DNV476" s="54"/>
      <c r="DNW476" s="54"/>
      <c r="DNX476" s="54"/>
      <c r="DNY476" s="54"/>
      <c r="DNZ476" s="54"/>
      <c r="DOA476" s="54"/>
      <c r="DOB476" s="54"/>
      <c r="DOC476" s="54"/>
      <c r="DOD476" s="54"/>
      <c r="DOE476" s="54"/>
      <c r="DOF476" s="54"/>
      <c r="DOG476" s="54"/>
      <c r="DOH476" s="54"/>
      <c r="DOI476" s="54"/>
      <c r="DOJ476" s="54"/>
      <c r="DOK476" s="54"/>
      <c r="DOL476" s="54"/>
      <c r="DOM476" s="54"/>
      <c r="DON476" s="54"/>
      <c r="DOO476" s="54"/>
      <c r="DOP476" s="54"/>
      <c r="DOQ476" s="54"/>
      <c r="DOR476" s="54"/>
      <c r="DOS476" s="54"/>
      <c r="DOT476" s="54"/>
      <c r="DOU476" s="54"/>
      <c r="DOV476" s="54"/>
      <c r="DOW476" s="54"/>
      <c r="DOX476" s="54"/>
      <c r="DOY476" s="54"/>
      <c r="DOZ476" s="54"/>
      <c r="DPA476" s="54"/>
      <c r="DPB476" s="54"/>
      <c r="DPC476" s="54"/>
      <c r="DPD476" s="54"/>
      <c r="DPE476" s="54"/>
      <c r="DPF476" s="54"/>
      <c r="DPG476" s="54"/>
      <c r="DPH476" s="54"/>
      <c r="DPI476" s="54"/>
      <c r="DPJ476" s="54"/>
      <c r="DPK476" s="54"/>
      <c r="DPL476" s="54"/>
      <c r="DPM476" s="54"/>
      <c r="DPN476" s="54"/>
      <c r="DPO476" s="54"/>
      <c r="DPP476" s="54"/>
      <c r="DPQ476" s="54"/>
      <c r="DPR476" s="54"/>
      <c r="DPS476" s="54"/>
      <c r="DPT476" s="54"/>
      <c r="DPU476" s="54"/>
      <c r="DPV476" s="54"/>
      <c r="DPW476" s="54"/>
      <c r="DPX476" s="54"/>
      <c r="DPY476" s="54"/>
      <c r="DPZ476" s="54"/>
      <c r="DQA476" s="54"/>
      <c r="DQB476" s="54"/>
      <c r="DQC476" s="54"/>
      <c r="DQD476" s="54"/>
      <c r="DQE476" s="54"/>
      <c r="DQF476" s="54"/>
      <c r="DQG476" s="54"/>
      <c r="DQH476" s="54"/>
      <c r="DQI476" s="54"/>
      <c r="DQJ476" s="54"/>
      <c r="DQK476" s="54"/>
      <c r="DQL476" s="54"/>
      <c r="DQM476" s="54"/>
      <c r="DQN476" s="54"/>
      <c r="DQO476" s="54"/>
      <c r="DQP476" s="54"/>
      <c r="DQQ476" s="54"/>
      <c r="DQR476" s="54"/>
      <c r="DQS476" s="54"/>
      <c r="DQT476" s="54"/>
      <c r="DQU476" s="54"/>
      <c r="DQV476" s="54"/>
      <c r="DQW476" s="54"/>
      <c r="DQX476" s="54"/>
      <c r="DQY476" s="54"/>
      <c r="DQZ476" s="54"/>
      <c r="DRA476" s="54"/>
      <c r="DRB476" s="54"/>
      <c r="DRC476" s="54"/>
      <c r="DRD476" s="54"/>
      <c r="DRE476" s="54"/>
      <c r="DRF476" s="54"/>
      <c r="DRG476" s="54"/>
      <c r="DRH476" s="54"/>
      <c r="DRI476" s="54"/>
      <c r="DRJ476" s="54"/>
      <c r="DRK476" s="54"/>
      <c r="DRL476" s="54"/>
      <c r="DRM476" s="54"/>
      <c r="DRN476" s="54"/>
      <c r="DRO476" s="54"/>
      <c r="DRP476" s="54"/>
      <c r="DRQ476" s="54"/>
      <c r="DRR476" s="54"/>
      <c r="DRS476" s="54"/>
      <c r="DRT476" s="54"/>
      <c r="DRU476" s="54"/>
      <c r="DRV476" s="54"/>
      <c r="DRW476" s="54"/>
      <c r="DRX476" s="54"/>
      <c r="DRY476" s="54"/>
      <c r="DRZ476" s="54"/>
      <c r="DSA476" s="54"/>
      <c r="DSB476" s="54"/>
      <c r="DSC476" s="54"/>
      <c r="DSD476" s="54"/>
      <c r="DSE476" s="54"/>
      <c r="DSF476" s="54"/>
      <c r="DSG476" s="54"/>
      <c r="DSH476" s="54"/>
      <c r="DSI476" s="54"/>
      <c r="DSJ476" s="54"/>
      <c r="DSK476" s="54"/>
      <c r="DSL476" s="54"/>
      <c r="DSM476" s="54"/>
      <c r="DSN476" s="54"/>
      <c r="DSO476" s="54"/>
      <c r="DSP476" s="54"/>
      <c r="DSQ476" s="54"/>
      <c r="DSR476" s="54"/>
      <c r="DSS476" s="54"/>
      <c r="DST476" s="54"/>
      <c r="DSU476" s="54"/>
      <c r="DSV476" s="54"/>
      <c r="DSW476" s="54"/>
      <c r="DSX476" s="54"/>
      <c r="DSY476" s="54"/>
      <c r="DSZ476" s="54"/>
      <c r="DTA476" s="54"/>
      <c r="DTB476" s="54"/>
      <c r="DTC476" s="54"/>
      <c r="DTD476" s="54"/>
      <c r="DTE476" s="54"/>
      <c r="DTF476" s="54"/>
      <c r="DTG476" s="54"/>
      <c r="DTH476" s="54"/>
      <c r="DTI476" s="54"/>
      <c r="DTJ476" s="54"/>
      <c r="DTK476" s="54"/>
      <c r="DTL476" s="54"/>
      <c r="DTM476" s="54"/>
      <c r="DTN476" s="54"/>
      <c r="DTO476" s="54"/>
      <c r="DTP476" s="54"/>
      <c r="DTQ476" s="54"/>
      <c r="DTR476" s="54"/>
      <c r="DTS476" s="54"/>
      <c r="DTT476" s="54"/>
      <c r="DTU476" s="54"/>
      <c r="DTV476" s="54"/>
      <c r="DTW476" s="54"/>
      <c r="DTX476" s="54"/>
      <c r="DTY476" s="54"/>
      <c r="DTZ476" s="54"/>
      <c r="DUA476" s="54"/>
      <c r="DUB476" s="54"/>
      <c r="DUC476" s="54"/>
      <c r="DUD476" s="54"/>
      <c r="DUE476" s="54"/>
      <c r="DUF476" s="54"/>
      <c r="DUG476" s="54"/>
      <c r="DUH476" s="54"/>
      <c r="DUI476" s="54"/>
      <c r="DUJ476" s="54"/>
      <c r="DUK476" s="54"/>
      <c r="DUL476" s="54"/>
      <c r="DUM476" s="54"/>
      <c r="DUN476" s="54"/>
      <c r="DUO476" s="54"/>
      <c r="DUP476" s="54"/>
      <c r="DUQ476" s="54"/>
      <c r="DUR476" s="54"/>
      <c r="DUS476" s="54"/>
      <c r="DUT476" s="54"/>
      <c r="DUU476" s="54"/>
      <c r="DUV476" s="54"/>
      <c r="DUW476" s="54"/>
      <c r="DUX476" s="54"/>
      <c r="DUY476" s="54"/>
      <c r="DUZ476" s="54"/>
      <c r="DVA476" s="54"/>
      <c r="DVB476" s="54"/>
      <c r="DVC476" s="54"/>
      <c r="DVD476" s="54"/>
      <c r="DVE476" s="54"/>
      <c r="DVF476" s="54"/>
      <c r="DVG476" s="54"/>
      <c r="DVH476" s="54"/>
      <c r="DVI476" s="54"/>
      <c r="DVJ476" s="54"/>
      <c r="DVK476" s="54"/>
      <c r="DVL476" s="54"/>
      <c r="DVM476" s="54"/>
      <c r="DVN476" s="54"/>
      <c r="DVO476" s="54"/>
      <c r="DVP476" s="54"/>
      <c r="DVQ476" s="54"/>
      <c r="DVR476" s="54"/>
      <c r="DVS476" s="54"/>
      <c r="DVT476" s="54"/>
      <c r="DVU476" s="54"/>
      <c r="DVV476" s="54"/>
      <c r="DVW476" s="54"/>
      <c r="DVX476" s="54"/>
      <c r="DVY476" s="54"/>
      <c r="DVZ476" s="54"/>
      <c r="DWA476" s="54"/>
      <c r="DWB476" s="54"/>
      <c r="DWC476" s="54"/>
      <c r="DWD476" s="54"/>
      <c r="DWE476" s="54"/>
      <c r="DWF476" s="54"/>
      <c r="DWG476" s="54"/>
      <c r="DWH476" s="54"/>
      <c r="DWI476" s="54"/>
      <c r="DWJ476" s="54"/>
      <c r="DWK476" s="54"/>
      <c r="DWL476" s="54"/>
      <c r="DWM476" s="54"/>
      <c r="DWN476" s="54"/>
      <c r="DWO476" s="54"/>
      <c r="DWP476" s="54"/>
      <c r="DWQ476" s="54"/>
      <c r="DWR476" s="54"/>
      <c r="DWS476" s="54"/>
      <c r="DWT476" s="54"/>
      <c r="DWU476" s="54"/>
      <c r="DWV476" s="54"/>
      <c r="DWW476" s="54"/>
      <c r="DWX476" s="54"/>
      <c r="DWY476" s="54"/>
      <c r="DWZ476" s="54"/>
      <c r="DXA476" s="54"/>
      <c r="DXB476" s="54"/>
      <c r="DXC476" s="54"/>
      <c r="DXD476" s="54"/>
      <c r="DXE476" s="54"/>
      <c r="DXF476" s="54"/>
      <c r="DXG476" s="54"/>
      <c r="DXH476" s="54"/>
      <c r="DXI476" s="54"/>
      <c r="DXJ476" s="54"/>
      <c r="DXK476" s="54"/>
      <c r="DXL476" s="54"/>
      <c r="DXM476" s="54"/>
      <c r="DXN476" s="54"/>
      <c r="DXO476" s="54"/>
      <c r="DXP476" s="54"/>
      <c r="DXQ476" s="54"/>
      <c r="DXR476" s="54"/>
      <c r="DXS476" s="54"/>
      <c r="DXT476" s="54"/>
      <c r="DXU476" s="54"/>
      <c r="DXV476" s="54"/>
      <c r="DXW476" s="54"/>
      <c r="DXX476" s="54"/>
      <c r="DXY476" s="54"/>
      <c r="DXZ476" s="54"/>
      <c r="DYA476" s="54"/>
      <c r="DYB476" s="54"/>
      <c r="DYC476" s="54"/>
      <c r="DYD476" s="54"/>
      <c r="DYE476" s="54"/>
      <c r="DYF476" s="54"/>
      <c r="DYG476" s="54"/>
      <c r="DYH476" s="54"/>
      <c r="DYI476" s="54"/>
      <c r="DYJ476" s="54"/>
      <c r="DYK476" s="54"/>
      <c r="DYL476" s="54"/>
      <c r="DYM476" s="54"/>
      <c r="DYN476" s="54"/>
      <c r="DYO476" s="54"/>
      <c r="DYP476" s="54"/>
      <c r="DYQ476" s="54"/>
      <c r="DYR476" s="54"/>
      <c r="DYS476" s="54"/>
      <c r="DYT476" s="54"/>
      <c r="DYU476" s="54"/>
      <c r="DYV476" s="54"/>
      <c r="DYW476" s="54"/>
      <c r="DYX476" s="54"/>
      <c r="DYY476" s="54"/>
      <c r="DYZ476" s="54"/>
      <c r="DZA476" s="54"/>
      <c r="DZB476" s="54"/>
      <c r="DZC476" s="54"/>
      <c r="DZD476" s="54"/>
      <c r="DZE476" s="54"/>
      <c r="DZF476" s="54"/>
      <c r="DZG476" s="54"/>
      <c r="DZH476" s="54"/>
      <c r="DZI476" s="54"/>
      <c r="DZJ476" s="54"/>
      <c r="DZK476" s="54"/>
      <c r="DZL476" s="54"/>
      <c r="DZM476" s="54"/>
      <c r="DZN476" s="54"/>
      <c r="DZO476" s="54"/>
      <c r="DZP476" s="54"/>
      <c r="DZQ476" s="54"/>
      <c r="DZR476" s="54"/>
      <c r="DZS476" s="54"/>
      <c r="DZT476" s="54"/>
      <c r="DZU476" s="54"/>
      <c r="DZV476" s="54"/>
      <c r="DZW476" s="54"/>
      <c r="DZX476" s="54"/>
      <c r="DZY476" s="54"/>
      <c r="DZZ476" s="54"/>
      <c r="EAA476" s="54"/>
      <c r="EAB476" s="54"/>
      <c r="EAC476" s="54"/>
      <c r="EAD476" s="54"/>
      <c r="EAE476" s="54"/>
      <c r="EAF476" s="54"/>
      <c r="EAG476" s="54"/>
      <c r="EAH476" s="54"/>
      <c r="EAI476" s="54"/>
      <c r="EAJ476" s="54"/>
      <c r="EAK476" s="54"/>
      <c r="EAL476" s="54"/>
      <c r="EAM476" s="54"/>
      <c r="EAN476" s="54"/>
      <c r="EAO476" s="54"/>
      <c r="EAP476" s="54"/>
      <c r="EAQ476" s="54"/>
      <c r="EAR476" s="54"/>
      <c r="EAS476" s="54"/>
      <c r="EAT476" s="54"/>
      <c r="EAU476" s="54"/>
      <c r="EAV476" s="54"/>
      <c r="EAW476" s="54"/>
      <c r="EAX476" s="54"/>
      <c r="EAY476" s="54"/>
      <c r="EAZ476" s="54"/>
      <c r="EBA476" s="54"/>
      <c r="EBB476" s="54"/>
      <c r="EBC476" s="54"/>
      <c r="EBD476" s="54"/>
      <c r="EBE476" s="54"/>
      <c r="EBF476" s="54"/>
      <c r="EBG476" s="54"/>
      <c r="EBH476" s="54"/>
      <c r="EBI476" s="54"/>
      <c r="EBJ476" s="54"/>
      <c r="EBK476" s="54"/>
      <c r="EBL476" s="54"/>
      <c r="EBM476" s="54"/>
      <c r="EBN476" s="54"/>
      <c r="EBO476" s="54"/>
      <c r="EBP476" s="54"/>
      <c r="EBQ476" s="54"/>
      <c r="EBR476" s="54"/>
      <c r="EBS476" s="54"/>
      <c r="EBT476" s="54"/>
      <c r="EBU476" s="54"/>
      <c r="EBV476" s="54"/>
      <c r="EBW476" s="54"/>
      <c r="EBX476" s="54"/>
      <c r="EBY476" s="54"/>
      <c r="EBZ476" s="54"/>
      <c r="ECA476" s="54"/>
      <c r="ECB476" s="54"/>
      <c r="ECC476" s="54"/>
      <c r="ECD476" s="54"/>
      <c r="ECE476" s="54"/>
      <c r="ECF476" s="54"/>
      <c r="ECG476" s="54"/>
      <c r="ECH476" s="54"/>
      <c r="ECI476" s="54"/>
      <c r="ECJ476" s="54"/>
      <c r="ECK476" s="54"/>
      <c r="ECL476" s="54"/>
      <c r="ECM476" s="54"/>
      <c r="ECN476" s="54"/>
      <c r="ECO476" s="54"/>
      <c r="ECP476" s="54"/>
      <c r="ECQ476" s="54"/>
      <c r="ECR476" s="54"/>
      <c r="ECS476" s="54"/>
      <c r="ECT476" s="54"/>
      <c r="ECU476" s="54"/>
      <c r="ECV476" s="54"/>
      <c r="ECW476" s="54"/>
      <c r="ECX476" s="54"/>
      <c r="ECY476" s="54"/>
      <c r="ECZ476" s="54"/>
      <c r="EDA476" s="54"/>
      <c r="EDB476" s="54"/>
      <c r="EDC476" s="54"/>
      <c r="EDD476" s="54"/>
      <c r="EDE476" s="54"/>
      <c r="EDF476" s="54"/>
      <c r="EDG476" s="54"/>
      <c r="EDH476" s="54"/>
      <c r="EDI476" s="54"/>
      <c r="EDJ476" s="54"/>
      <c r="EDK476" s="54"/>
      <c r="EDL476" s="54"/>
      <c r="EDM476" s="54"/>
      <c r="EDN476" s="54"/>
      <c r="EDO476" s="54"/>
      <c r="EDP476" s="54"/>
      <c r="EDQ476" s="54"/>
      <c r="EDR476" s="54"/>
      <c r="EDS476" s="54"/>
      <c r="EDT476" s="54"/>
      <c r="EDU476" s="54"/>
      <c r="EDV476" s="54"/>
      <c r="EDW476" s="54"/>
      <c r="EDX476" s="54"/>
      <c r="EDY476" s="54"/>
      <c r="EDZ476" s="54"/>
      <c r="EEA476" s="54"/>
      <c r="EEB476" s="54"/>
      <c r="EEC476" s="54"/>
      <c r="EED476" s="54"/>
      <c r="EEE476" s="54"/>
      <c r="EEF476" s="54"/>
      <c r="EEG476" s="54"/>
      <c r="EEH476" s="54"/>
      <c r="EEI476" s="54"/>
      <c r="EEJ476" s="54"/>
      <c r="EEK476" s="54"/>
      <c r="EEL476" s="54"/>
      <c r="EEM476" s="54"/>
      <c r="EEN476" s="54"/>
      <c r="EEO476" s="54"/>
      <c r="EEP476" s="54"/>
      <c r="EEQ476" s="54"/>
      <c r="EER476" s="54"/>
      <c r="EES476" s="54"/>
      <c r="EET476" s="54"/>
      <c r="EEU476" s="54"/>
      <c r="EEV476" s="54"/>
      <c r="EEW476" s="54"/>
      <c r="EEX476" s="54"/>
      <c r="EEY476" s="54"/>
      <c r="EEZ476" s="54"/>
      <c r="EFA476" s="54"/>
      <c r="EFB476" s="54"/>
      <c r="EFC476" s="54"/>
      <c r="EFD476" s="54"/>
      <c r="EFE476" s="54"/>
      <c r="EFF476" s="54"/>
      <c r="EFG476" s="54"/>
      <c r="EFH476" s="54"/>
      <c r="EFI476" s="54"/>
      <c r="EFJ476" s="54"/>
      <c r="EFK476" s="54"/>
      <c r="EFL476" s="54"/>
      <c r="EFM476" s="54"/>
      <c r="EFN476" s="54"/>
      <c r="EFO476" s="54"/>
      <c r="EFP476" s="54"/>
      <c r="EFQ476" s="54"/>
      <c r="EFR476" s="54"/>
      <c r="EFS476" s="54"/>
      <c r="EFT476" s="54"/>
      <c r="EFU476" s="54"/>
      <c r="EFV476" s="54"/>
      <c r="EFW476" s="54"/>
      <c r="EFX476" s="54"/>
      <c r="EFY476" s="54"/>
      <c r="EFZ476" s="54"/>
      <c r="EGA476" s="54"/>
      <c r="EGB476" s="54"/>
      <c r="EGC476" s="54"/>
      <c r="EGD476" s="54"/>
      <c r="EGE476" s="54"/>
      <c r="EGF476" s="54"/>
      <c r="EGG476" s="54"/>
      <c r="EGH476" s="54"/>
      <c r="EGI476" s="54"/>
      <c r="EGJ476" s="54"/>
      <c r="EGK476" s="54"/>
      <c r="EGL476" s="54"/>
      <c r="EGM476" s="54"/>
      <c r="EGN476" s="54"/>
      <c r="EGO476" s="54"/>
      <c r="EGP476" s="54"/>
      <c r="EGQ476" s="54"/>
      <c r="EGR476" s="54"/>
      <c r="EGS476" s="54"/>
      <c r="EGT476" s="54"/>
      <c r="EGU476" s="54"/>
      <c r="EGV476" s="54"/>
      <c r="EGW476" s="54"/>
      <c r="EGX476" s="54"/>
      <c r="EGY476" s="54"/>
      <c r="EGZ476" s="54"/>
      <c r="EHA476" s="54"/>
      <c r="EHB476" s="54"/>
      <c r="EHC476" s="54"/>
      <c r="EHD476" s="54"/>
      <c r="EHE476" s="54"/>
      <c r="EHF476" s="54"/>
      <c r="EHG476" s="54"/>
      <c r="EHH476" s="54"/>
      <c r="EHI476" s="54"/>
      <c r="EHJ476" s="54"/>
      <c r="EHK476" s="54"/>
      <c r="EHL476" s="54"/>
      <c r="EHM476" s="54"/>
      <c r="EHN476" s="54"/>
      <c r="EHO476" s="54"/>
      <c r="EHP476" s="54"/>
      <c r="EHQ476" s="54"/>
      <c r="EHR476" s="54"/>
      <c r="EHS476" s="54"/>
      <c r="EHT476" s="54"/>
      <c r="EHU476" s="54"/>
      <c r="EHV476" s="54"/>
      <c r="EHW476" s="54"/>
      <c r="EHX476" s="54"/>
      <c r="EHY476" s="54"/>
      <c r="EHZ476" s="54"/>
      <c r="EIA476" s="54"/>
      <c r="EIB476" s="54"/>
      <c r="EIC476" s="54"/>
      <c r="EID476" s="54"/>
      <c r="EIE476" s="54"/>
      <c r="EIF476" s="54"/>
      <c r="EIG476" s="54"/>
      <c r="EIH476" s="54"/>
      <c r="EII476" s="54"/>
      <c r="EIJ476" s="54"/>
      <c r="EIK476" s="54"/>
      <c r="EIL476" s="54"/>
      <c r="EIM476" s="54"/>
      <c r="EIN476" s="54"/>
      <c r="EIO476" s="54"/>
      <c r="EIP476" s="54"/>
      <c r="EIQ476" s="54"/>
      <c r="EIR476" s="54"/>
      <c r="EIS476" s="54"/>
      <c r="EIT476" s="54"/>
      <c r="EIU476" s="54"/>
      <c r="EIV476" s="54"/>
      <c r="EIW476" s="54"/>
      <c r="EIX476" s="54"/>
      <c r="EIY476" s="54"/>
      <c r="EIZ476" s="54"/>
      <c r="EJA476" s="54"/>
      <c r="EJB476" s="54"/>
      <c r="EJC476" s="54"/>
      <c r="EJD476" s="54"/>
      <c r="EJE476" s="54"/>
      <c r="EJF476" s="54"/>
      <c r="EJG476" s="54"/>
      <c r="EJH476" s="54"/>
      <c r="EJI476" s="54"/>
      <c r="EJJ476" s="54"/>
      <c r="EJK476" s="54"/>
      <c r="EJL476" s="54"/>
      <c r="EJM476" s="54"/>
      <c r="EJN476" s="54"/>
      <c r="EJO476" s="54"/>
      <c r="EJP476" s="54"/>
      <c r="EJQ476" s="54"/>
      <c r="EJR476" s="54"/>
      <c r="EJS476" s="54"/>
      <c r="EJT476" s="54"/>
      <c r="EJU476" s="54"/>
      <c r="EJV476" s="54"/>
      <c r="EJW476" s="54"/>
      <c r="EJX476" s="54"/>
      <c r="EJY476" s="54"/>
      <c r="EJZ476" s="54"/>
      <c r="EKA476" s="54"/>
      <c r="EKB476" s="54"/>
      <c r="EKC476" s="54"/>
      <c r="EKD476" s="54"/>
      <c r="EKE476" s="54"/>
      <c r="EKF476" s="54"/>
      <c r="EKG476" s="54"/>
      <c r="EKH476" s="54"/>
      <c r="EKI476" s="54"/>
      <c r="EKJ476" s="54"/>
      <c r="EKK476" s="54"/>
      <c r="EKL476" s="54"/>
      <c r="EKM476" s="54"/>
      <c r="EKN476" s="54"/>
      <c r="EKO476" s="54"/>
      <c r="EKP476" s="54"/>
      <c r="EKQ476" s="54"/>
      <c r="EKR476" s="54"/>
      <c r="EKS476" s="54"/>
      <c r="EKT476" s="54"/>
      <c r="EKU476" s="54"/>
      <c r="EKV476" s="54"/>
      <c r="EKW476" s="54"/>
      <c r="EKX476" s="54"/>
      <c r="EKY476" s="54"/>
      <c r="EKZ476" s="54"/>
      <c r="ELA476" s="54"/>
      <c r="ELB476" s="54"/>
      <c r="ELC476" s="54"/>
      <c r="ELD476" s="54"/>
      <c r="ELE476" s="54"/>
      <c r="ELF476" s="54"/>
      <c r="ELG476" s="54"/>
      <c r="ELH476" s="54"/>
      <c r="ELI476" s="54"/>
      <c r="ELJ476" s="54"/>
      <c r="ELK476" s="54"/>
      <c r="ELL476" s="54"/>
      <c r="ELM476" s="54"/>
      <c r="ELN476" s="54"/>
      <c r="ELO476" s="54"/>
      <c r="ELP476" s="54"/>
      <c r="ELQ476" s="54"/>
      <c r="ELR476" s="54"/>
      <c r="ELS476" s="54"/>
      <c r="ELT476" s="54"/>
      <c r="ELU476" s="54"/>
      <c r="ELV476" s="54"/>
      <c r="ELW476" s="54"/>
      <c r="ELX476" s="54"/>
      <c r="ELY476" s="54"/>
      <c r="ELZ476" s="54"/>
      <c r="EMA476" s="54"/>
      <c r="EMB476" s="54"/>
      <c r="EMC476" s="54"/>
      <c r="EMD476" s="54"/>
      <c r="EME476" s="54"/>
      <c r="EMF476" s="54"/>
      <c r="EMG476" s="54"/>
      <c r="EMH476" s="54"/>
      <c r="EMI476" s="54"/>
      <c r="EMJ476" s="54"/>
      <c r="EMK476" s="54"/>
      <c r="EML476" s="54"/>
      <c r="EMM476" s="54"/>
      <c r="EMN476" s="54"/>
      <c r="EMO476" s="54"/>
      <c r="EMP476" s="54"/>
      <c r="EMQ476" s="54"/>
      <c r="EMR476" s="54"/>
      <c r="EMS476" s="54"/>
      <c r="EMT476" s="54"/>
      <c r="EMU476" s="54"/>
      <c r="EMV476" s="54"/>
      <c r="EMW476" s="54"/>
      <c r="EMX476" s="54"/>
      <c r="EMY476" s="54"/>
      <c r="EMZ476" s="54"/>
      <c r="ENA476" s="54"/>
      <c r="ENB476" s="54"/>
      <c r="ENC476" s="54"/>
      <c r="END476" s="54"/>
      <c r="ENE476" s="54"/>
      <c r="ENF476" s="54"/>
      <c r="ENG476" s="54"/>
      <c r="ENH476" s="54"/>
      <c r="ENI476" s="54"/>
      <c r="ENJ476" s="54"/>
      <c r="ENK476" s="54"/>
      <c r="ENL476" s="54"/>
      <c r="ENM476" s="54"/>
      <c r="ENN476" s="54"/>
      <c r="ENO476" s="54"/>
      <c r="ENP476" s="54"/>
      <c r="ENQ476" s="54"/>
      <c r="ENR476" s="54"/>
      <c r="ENS476" s="54"/>
      <c r="ENT476" s="54"/>
      <c r="ENU476" s="54"/>
      <c r="ENV476" s="54"/>
      <c r="ENW476" s="54"/>
      <c r="ENX476" s="54"/>
      <c r="ENY476" s="54"/>
      <c r="ENZ476" s="54"/>
      <c r="EOA476" s="54"/>
      <c r="EOB476" s="54"/>
      <c r="EOC476" s="54"/>
      <c r="EOD476" s="54"/>
      <c r="EOE476" s="54"/>
      <c r="EOF476" s="54"/>
      <c r="EOG476" s="54"/>
      <c r="EOH476" s="54"/>
      <c r="EOI476" s="54"/>
      <c r="EOJ476" s="54"/>
      <c r="EOK476" s="54"/>
      <c r="EOL476" s="54"/>
      <c r="EOM476" s="54"/>
      <c r="EON476" s="54"/>
      <c r="EOO476" s="54"/>
      <c r="EOP476" s="54"/>
      <c r="EOQ476" s="54"/>
      <c r="EOR476" s="54"/>
      <c r="EOS476" s="54"/>
      <c r="EOT476" s="54"/>
      <c r="EOU476" s="54"/>
      <c r="EOV476" s="54"/>
      <c r="EOW476" s="54"/>
      <c r="EOX476" s="54"/>
      <c r="EOY476" s="54"/>
      <c r="EOZ476" s="54"/>
      <c r="EPA476" s="54"/>
      <c r="EPB476" s="54"/>
      <c r="EPC476" s="54"/>
      <c r="EPD476" s="54"/>
      <c r="EPE476" s="54"/>
      <c r="EPF476" s="54"/>
      <c r="EPG476" s="54"/>
      <c r="EPH476" s="54"/>
      <c r="EPI476" s="54"/>
      <c r="EPJ476" s="54"/>
      <c r="EPK476" s="54"/>
      <c r="EPL476" s="54"/>
      <c r="EPM476" s="54"/>
      <c r="EPN476" s="54"/>
      <c r="EPO476" s="54"/>
      <c r="EPP476" s="54"/>
      <c r="EPQ476" s="54"/>
      <c r="EPR476" s="54"/>
      <c r="EPS476" s="54"/>
      <c r="EPT476" s="54"/>
      <c r="EPU476" s="54"/>
      <c r="EPV476" s="54"/>
      <c r="EPW476" s="54"/>
      <c r="EPX476" s="54"/>
      <c r="EPY476" s="54"/>
      <c r="EPZ476" s="54"/>
      <c r="EQA476" s="54"/>
      <c r="EQB476" s="54"/>
      <c r="EQC476" s="54"/>
      <c r="EQD476" s="54"/>
      <c r="EQE476" s="54"/>
      <c r="EQF476" s="54"/>
      <c r="EQG476" s="54"/>
      <c r="EQH476" s="54"/>
      <c r="EQI476" s="54"/>
      <c r="EQJ476" s="54"/>
      <c r="EQK476" s="54"/>
      <c r="EQL476" s="54"/>
      <c r="EQM476" s="54"/>
      <c r="EQN476" s="54"/>
      <c r="EQO476" s="54"/>
      <c r="EQP476" s="54"/>
      <c r="EQQ476" s="54"/>
      <c r="EQR476" s="54"/>
      <c r="EQS476" s="54"/>
      <c r="EQT476" s="54"/>
      <c r="EQU476" s="54"/>
      <c r="EQV476" s="54"/>
      <c r="EQW476" s="54"/>
      <c r="EQX476" s="54"/>
      <c r="EQY476" s="54"/>
      <c r="EQZ476" s="54"/>
      <c r="ERA476" s="54"/>
      <c r="ERB476" s="54"/>
      <c r="ERC476" s="54"/>
      <c r="ERD476" s="54"/>
      <c r="ERE476" s="54"/>
      <c r="ERF476" s="54"/>
      <c r="ERG476" s="54"/>
      <c r="ERH476" s="54"/>
      <c r="ERI476" s="54"/>
      <c r="ERJ476" s="54"/>
      <c r="ERK476" s="54"/>
      <c r="ERL476" s="54"/>
      <c r="ERM476" s="54"/>
      <c r="ERN476" s="54"/>
      <c r="ERO476" s="54"/>
      <c r="ERP476" s="54"/>
      <c r="ERQ476" s="54"/>
      <c r="ERR476" s="54"/>
      <c r="ERS476" s="54"/>
      <c r="ERT476" s="54"/>
      <c r="ERU476" s="54"/>
      <c r="ERV476" s="54"/>
      <c r="ERW476" s="54"/>
      <c r="ERX476" s="54"/>
      <c r="ERY476" s="54"/>
      <c r="ERZ476" s="54"/>
      <c r="ESA476" s="54"/>
      <c r="ESB476" s="54"/>
      <c r="ESC476" s="54"/>
      <c r="ESD476" s="54"/>
      <c r="ESE476" s="54"/>
      <c r="ESF476" s="54"/>
      <c r="ESG476" s="54"/>
      <c r="ESH476" s="54"/>
      <c r="ESI476" s="54"/>
      <c r="ESJ476" s="54"/>
      <c r="ESK476" s="54"/>
      <c r="ESL476" s="54"/>
      <c r="ESM476" s="54"/>
      <c r="ESN476" s="54"/>
      <c r="ESO476" s="54"/>
      <c r="ESP476" s="54"/>
      <c r="ESQ476" s="54"/>
      <c r="ESR476" s="54"/>
      <c r="ESS476" s="54"/>
      <c r="EST476" s="54"/>
      <c r="ESU476" s="54"/>
      <c r="ESV476" s="54"/>
      <c r="ESW476" s="54"/>
      <c r="ESX476" s="54"/>
      <c r="ESY476" s="54"/>
      <c r="ESZ476" s="54"/>
      <c r="ETA476" s="54"/>
      <c r="ETB476" s="54"/>
      <c r="ETC476" s="54"/>
      <c r="ETD476" s="54"/>
      <c r="ETE476" s="54"/>
      <c r="ETF476" s="54"/>
      <c r="ETG476" s="54"/>
      <c r="ETH476" s="54"/>
      <c r="ETI476" s="54"/>
      <c r="ETJ476" s="54"/>
      <c r="ETK476" s="54"/>
      <c r="ETL476" s="54"/>
      <c r="ETM476" s="54"/>
      <c r="ETN476" s="54"/>
      <c r="ETO476" s="54"/>
      <c r="ETP476" s="54"/>
      <c r="ETQ476" s="54"/>
      <c r="ETR476" s="54"/>
      <c r="ETS476" s="54"/>
      <c r="ETT476" s="54"/>
      <c r="ETU476" s="54"/>
      <c r="ETV476" s="54"/>
      <c r="ETW476" s="54"/>
      <c r="ETX476" s="54"/>
      <c r="ETY476" s="54"/>
      <c r="ETZ476" s="54"/>
      <c r="EUA476" s="54"/>
      <c r="EUB476" s="54"/>
      <c r="EUC476" s="54"/>
      <c r="EUD476" s="54"/>
      <c r="EUE476" s="54"/>
      <c r="EUF476" s="54"/>
      <c r="EUG476" s="54"/>
      <c r="EUH476" s="54"/>
      <c r="EUI476" s="54"/>
      <c r="EUJ476" s="54"/>
      <c r="EUK476" s="54"/>
      <c r="EUL476" s="54"/>
      <c r="EUM476" s="54"/>
      <c r="EUN476" s="54"/>
      <c r="EUO476" s="54"/>
      <c r="EUP476" s="54"/>
      <c r="EUQ476" s="54"/>
      <c r="EUR476" s="54"/>
      <c r="EUS476" s="54"/>
      <c r="EUT476" s="54"/>
      <c r="EUU476" s="54"/>
      <c r="EUV476" s="54"/>
      <c r="EUW476" s="54"/>
      <c r="EUX476" s="54"/>
      <c r="EUY476" s="54"/>
      <c r="EUZ476" s="54"/>
      <c r="EVA476" s="54"/>
      <c r="EVB476" s="54"/>
      <c r="EVC476" s="54"/>
      <c r="EVD476" s="54"/>
      <c r="EVE476" s="54"/>
      <c r="EVF476" s="54"/>
      <c r="EVG476" s="54"/>
      <c r="EVH476" s="54"/>
      <c r="EVI476" s="54"/>
      <c r="EVJ476" s="54"/>
      <c r="EVK476" s="54"/>
      <c r="EVL476" s="54"/>
      <c r="EVM476" s="54"/>
      <c r="EVN476" s="54"/>
      <c r="EVO476" s="54"/>
      <c r="EVP476" s="54"/>
      <c r="EVQ476" s="54"/>
      <c r="EVR476" s="54"/>
      <c r="EVS476" s="54"/>
      <c r="EVT476" s="54"/>
      <c r="EVU476" s="54"/>
      <c r="EVV476" s="54"/>
      <c r="EVW476" s="54"/>
      <c r="EVX476" s="54"/>
      <c r="EVY476" s="54"/>
      <c r="EVZ476" s="54"/>
      <c r="EWA476" s="54"/>
      <c r="EWB476" s="54"/>
      <c r="EWC476" s="54"/>
      <c r="EWD476" s="54"/>
      <c r="EWE476" s="54"/>
      <c r="EWF476" s="54"/>
      <c r="EWG476" s="54"/>
      <c r="EWH476" s="54"/>
      <c r="EWI476" s="54"/>
      <c r="EWJ476" s="54"/>
      <c r="EWK476" s="54"/>
      <c r="EWL476" s="54"/>
      <c r="EWM476" s="54"/>
      <c r="EWN476" s="54"/>
      <c r="EWO476" s="54"/>
      <c r="EWP476" s="54"/>
      <c r="EWQ476" s="54"/>
      <c r="EWR476" s="54"/>
      <c r="EWS476" s="54"/>
      <c r="EWT476" s="54"/>
      <c r="EWU476" s="54"/>
      <c r="EWV476" s="54"/>
      <c r="EWW476" s="54"/>
      <c r="EWX476" s="54"/>
      <c r="EWY476" s="54"/>
      <c r="EWZ476" s="54"/>
      <c r="EXA476" s="54"/>
      <c r="EXB476" s="54"/>
      <c r="EXC476" s="54"/>
      <c r="EXD476" s="54"/>
      <c r="EXE476" s="54"/>
      <c r="EXF476" s="54"/>
      <c r="EXG476" s="54"/>
      <c r="EXH476" s="54"/>
      <c r="EXI476" s="54"/>
      <c r="EXJ476" s="54"/>
      <c r="EXK476" s="54"/>
      <c r="EXL476" s="54"/>
      <c r="EXM476" s="54"/>
      <c r="EXN476" s="54"/>
      <c r="EXO476" s="54"/>
      <c r="EXP476" s="54"/>
      <c r="EXQ476" s="54"/>
      <c r="EXR476" s="54"/>
      <c r="EXS476" s="54"/>
      <c r="EXT476" s="54"/>
      <c r="EXU476" s="54"/>
      <c r="EXV476" s="54"/>
      <c r="EXW476" s="54"/>
      <c r="EXX476" s="54"/>
      <c r="EXY476" s="54"/>
      <c r="EXZ476" s="54"/>
      <c r="EYA476" s="54"/>
      <c r="EYB476" s="54"/>
      <c r="EYC476" s="54"/>
      <c r="EYD476" s="54"/>
      <c r="EYE476" s="54"/>
      <c r="EYF476" s="54"/>
      <c r="EYG476" s="54"/>
      <c r="EYH476" s="54"/>
      <c r="EYI476" s="54"/>
      <c r="EYJ476" s="54"/>
      <c r="EYK476" s="54"/>
      <c r="EYL476" s="54"/>
      <c r="EYM476" s="54"/>
      <c r="EYN476" s="54"/>
      <c r="EYO476" s="54"/>
      <c r="EYP476" s="54"/>
      <c r="EYQ476" s="54"/>
      <c r="EYR476" s="54"/>
      <c r="EYS476" s="54"/>
      <c r="EYT476" s="54"/>
      <c r="EYU476" s="54"/>
      <c r="EYV476" s="54"/>
      <c r="EYW476" s="54"/>
      <c r="EYX476" s="54"/>
      <c r="EYY476" s="54"/>
      <c r="EYZ476" s="54"/>
      <c r="EZA476" s="54"/>
      <c r="EZB476" s="54"/>
      <c r="EZC476" s="54"/>
      <c r="EZD476" s="54"/>
      <c r="EZE476" s="54"/>
      <c r="EZF476" s="54"/>
      <c r="EZG476" s="54"/>
      <c r="EZH476" s="54"/>
      <c r="EZI476" s="54"/>
      <c r="EZJ476" s="54"/>
      <c r="EZK476" s="54"/>
      <c r="EZL476" s="54"/>
      <c r="EZM476" s="54"/>
      <c r="EZN476" s="54"/>
      <c r="EZO476" s="54"/>
      <c r="EZP476" s="54"/>
      <c r="EZQ476" s="54"/>
      <c r="EZR476" s="54"/>
      <c r="EZS476" s="54"/>
      <c r="EZT476" s="54"/>
      <c r="EZU476" s="54"/>
      <c r="EZV476" s="54"/>
      <c r="EZW476" s="54"/>
      <c r="EZX476" s="54"/>
      <c r="EZY476" s="54"/>
      <c r="EZZ476" s="54"/>
      <c r="FAA476" s="54"/>
      <c r="FAB476" s="54"/>
      <c r="FAC476" s="54"/>
      <c r="FAD476" s="54"/>
      <c r="FAE476" s="54"/>
      <c r="FAF476" s="54"/>
      <c r="FAG476" s="54"/>
      <c r="FAH476" s="54"/>
      <c r="FAI476" s="54"/>
      <c r="FAJ476" s="54"/>
      <c r="FAK476" s="54"/>
      <c r="FAL476" s="54"/>
      <c r="FAM476" s="54"/>
      <c r="FAN476" s="54"/>
      <c r="FAO476" s="54"/>
      <c r="FAP476" s="54"/>
      <c r="FAQ476" s="54"/>
      <c r="FAR476" s="54"/>
      <c r="FAS476" s="54"/>
      <c r="FAT476" s="54"/>
      <c r="FAU476" s="54"/>
      <c r="FAV476" s="54"/>
      <c r="FAW476" s="54"/>
      <c r="FAX476" s="54"/>
      <c r="FAY476" s="54"/>
      <c r="FAZ476" s="54"/>
      <c r="FBA476" s="54"/>
      <c r="FBB476" s="54"/>
      <c r="FBC476" s="54"/>
      <c r="FBD476" s="54"/>
      <c r="FBE476" s="54"/>
      <c r="FBF476" s="54"/>
      <c r="FBG476" s="54"/>
      <c r="FBH476" s="54"/>
      <c r="FBI476" s="54"/>
      <c r="FBJ476" s="54"/>
      <c r="FBK476" s="54"/>
      <c r="FBL476" s="54"/>
      <c r="FBM476" s="54"/>
      <c r="FBN476" s="54"/>
      <c r="FBO476" s="54"/>
      <c r="FBP476" s="54"/>
      <c r="FBQ476" s="54"/>
      <c r="FBR476" s="54"/>
      <c r="FBS476" s="54"/>
      <c r="FBT476" s="54"/>
      <c r="FBU476" s="54"/>
      <c r="FBV476" s="54"/>
      <c r="FBW476" s="54"/>
      <c r="FBX476" s="54"/>
      <c r="FBY476" s="54"/>
      <c r="FBZ476" s="54"/>
      <c r="FCA476" s="54"/>
      <c r="FCB476" s="54"/>
      <c r="FCC476" s="54"/>
      <c r="FCD476" s="54"/>
      <c r="FCE476" s="54"/>
      <c r="FCF476" s="54"/>
      <c r="FCG476" s="54"/>
      <c r="FCH476" s="54"/>
      <c r="FCI476" s="54"/>
      <c r="FCJ476" s="54"/>
      <c r="FCK476" s="54"/>
      <c r="FCL476" s="54"/>
      <c r="FCM476" s="54"/>
      <c r="FCN476" s="54"/>
      <c r="FCO476" s="54"/>
      <c r="FCP476" s="54"/>
      <c r="FCQ476" s="54"/>
      <c r="FCR476" s="54"/>
      <c r="FCS476" s="54"/>
      <c r="FCT476" s="54"/>
      <c r="FCU476" s="54"/>
      <c r="FCV476" s="54"/>
      <c r="FCW476" s="54"/>
      <c r="FCX476" s="54"/>
      <c r="FCY476" s="54"/>
      <c r="FCZ476" s="54"/>
      <c r="FDA476" s="54"/>
      <c r="FDB476" s="54"/>
      <c r="FDC476" s="54"/>
      <c r="FDD476" s="54"/>
      <c r="FDE476" s="54"/>
      <c r="FDF476" s="54"/>
      <c r="FDG476" s="54"/>
      <c r="FDH476" s="54"/>
      <c r="FDI476" s="54"/>
      <c r="FDJ476" s="54"/>
      <c r="FDK476" s="54"/>
      <c r="FDL476" s="54"/>
      <c r="FDM476" s="54"/>
      <c r="FDN476" s="54"/>
      <c r="FDO476" s="54"/>
      <c r="FDP476" s="54"/>
      <c r="FDQ476" s="54"/>
      <c r="FDR476" s="54"/>
      <c r="FDS476" s="54"/>
      <c r="FDT476" s="54"/>
      <c r="FDU476" s="54"/>
      <c r="FDV476" s="54"/>
      <c r="FDW476" s="54"/>
      <c r="FDX476" s="54"/>
      <c r="FDY476" s="54"/>
      <c r="FDZ476" s="54"/>
      <c r="FEA476" s="54"/>
      <c r="FEB476" s="54"/>
      <c r="FEC476" s="54"/>
      <c r="FED476" s="54"/>
      <c r="FEE476" s="54"/>
      <c r="FEF476" s="54"/>
      <c r="FEG476" s="54"/>
      <c r="FEH476" s="54"/>
      <c r="FEI476" s="54"/>
      <c r="FEJ476" s="54"/>
      <c r="FEK476" s="54"/>
      <c r="FEL476" s="54"/>
      <c r="FEM476" s="54"/>
      <c r="FEN476" s="54"/>
      <c r="FEO476" s="54"/>
      <c r="FEP476" s="54"/>
      <c r="FEQ476" s="54"/>
      <c r="FER476" s="54"/>
      <c r="FES476" s="54"/>
      <c r="FET476" s="54"/>
      <c r="FEU476" s="54"/>
      <c r="FEV476" s="54"/>
      <c r="FEW476" s="54"/>
      <c r="FEX476" s="54"/>
      <c r="FEY476" s="54"/>
      <c r="FEZ476" s="54"/>
      <c r="FFA476" s="54"/>
      <c r="FFB476" s="54"/>
      <c r="FFC476" s="54"/>
      <c r="FFD476" s="54"/>
      <c r="FFE476" s="54"/>
      <c r="FFF476" s="54"/>
      <c r="FFG476" s="54"/>
      <c r="FFH476" s="54"/>
      <c r="FFI476" s="54"/>
      <c r="FFJ476" s="54"/>
      <c r="FFK476" s="54"/>
      <c r="FFL476" s="54"/>
      <c r="FFM476" s="54"/>
      <c r="FFN476" s="54"/>
      <c r="FFO476" s="54"/>
      <c r="FFP476" s="54"/>
      <c r="FFQ476" s="54"/>
      <c r="FFR476" s="54"/>
      <c r="FFS476" s="54"/>
      <c r="FFT476" s="54"/>
      <c r="FFU476" s="54"/>
      <c r="FFV476" s="54"/>
      <c r="FFW476" s="54"/>
      <c r="FFX476" s="54"/>
      <c r="FFY476" s="54"/>
      <c r="FFZ476" s="54"/>
      <c r="FGA476" s="54"/>
      <c r="FGB476" s="54"/>
      <c r="FGC476" s="54"/>
      <c r="FGD476" s="54"/>
      <c r="FGE476" s="54"/>
      <c r="FGF476" s="54"/>
      <c r="FGG476" s="54"/>
      <c r="FGH476" s="54"/>
      <c r="FGI476" s="54"/>
      <c r="FGJ476" s="54"/>
      <c r="FGK476" s="54"/>
      <c r="FGL476" s="54"/>
      <c r="FGM476" s="54"/>
      <c r="FGN476" s="54"/>
      <c r="FGO476" s="54"/>
      <c r="FGP476" s="54"/>
      <c r="FGQ476" s="54"/>
      <c r="FGR476" s="54"/>
      <c r="FGS476" s="54"/>
      <c r="FGT476" s="54"/>
      <c r="FGU476" s="54"/>
      <c r="FGV476" s="54"/>
      <c r="FGW476" s="54"/>
      <c r="FGX476" s="54"/>
      <c r="FGY476" s="54"/>
      <c r="FGZ476" s="54"/>
      <c r="FHA476" s="54"/>
      <c r="FHB476" s="54"/>
      <c r="FHC476" s="54"/>
      <c r="FHD476" s="54"/>
      <c r="FHE476" s="54"/>
      <c r="FHF476" s="54"/>
      <c r="FHG476" s="54"/>
      <c r="FHH476" s="54"/>
      <c r="FHI476" s="54"/>
      <c r="FHJ476" s="54"/>
      <c r="FHK476" s="54"/>
      <c r="FHL476" s="54"/>
      <c r="FHM476" s="54"/>
      <c r="FHN476" s="54"/>
      <c r="FHO476" s="54"/>
      <c r="FHP476" s="54"/>
      <c r="FHQ476" s="54"/>
      <c r="FHR476" s="54"/>
      <c r="FHS476" s="54"/>
      <c r="FHT476" s="54"/>
      <c r="FHU476" s="54"/>
      <c r="FHV476" s="54"/>
      <c r="FHW476" s="54"/>
      <c r="FHX476" s="54"/>
      <c r="FHY476" s="54"/>
      <c r="FHZ476" s="54"/>
      <c r="FIA476" s="54"/>
      <c r="FIB476" s="54"/>
      <c r="FIC476" s="54"/>
      <c r="FID476" s="54"/>
      <c r="FIE476" s="54"/>
      <c r="FIF476" s="54"/>
      <c r="FIG476" s="54"/>
      <c r="FIH476" s="54"/>
      <c r="FII476" s="54"/>
      <c r="FIJ476" s="54"/>
      <c r="FIK476" s="54"/>
      <c r="FIL476" s="54"/>
      <c r="FIM476" s="54"/>
      <c r="FIN476" s="54"/>
      <c r="FIO476" s="54"/>
      <c r="FIP476" s="54"/>
      <c r="FIQ476" s="54"/>
      <c r="FIR476" s="54"/>
      <c r="FIS476" s="54"/>
      <c r="FIT476" s="54"/>
      <c r="FIU476" s="54"/>
      <c r="FIV476" s="54"/>
      <c r="FIW476" s="54"/>
      <c r="FIX476" s="54"/>
      <c r="FIY476" s="54"/>
      <c r="FIZ476" s="54"/>
      <c r="FJA476" s="54"/>
      <c r="FJB476" s="54"/>
      <c r="FJC476" s="54"/>
      <c r="FJD476" s="54"/>
      <c r="FJE476" s="54"/>
      <c r="FJF476" s="54"/>
      <c r="FJG476" s="54"/>
      <c r="FJH476" s="54"/>
      <c r="FJI476" s="54"/>
      <c r="FJJ476" s="54"/>
      <c r="FJK476" s="54"/>
      <c r="FJL476" s="54"/>
      <c r="FJM476" s="54"/>
      <c r="FJN476" s="54"/>
      <c r="FJO476" s="54"/>
      <c r="FJP476" s="54"/>
      <c r="FJQ476" s="54"/>
      <c r="FJR476" s="54"/>
      <c r="FJS476" s="54"/>
      <c r="FJT476" s="54"/>
      <c r="FJU476" s="54"/>
      <c r="FJV476" s="54"/>
      <c r="FJW476" s="54"/>
      <c r="FJX476" s="54"/>
      <c r="FJY476" s="54"/>
      <c r="FJZ476" s="54"/>
      <c r="FKA476" s="54"/>
      <c r="FKB476" s="54"/>
      <c r="FKC476" s="54"/>
      <c r="FKD476" s="54"/>
      <c r="FKE476" s="54"/>
      <c r="FKF476" s="54"/>
      <c r="FKG476" s="54"/>
      <c r="FKH476" s="54"/>
      <c r="FKI476" s="54"/>
      <c r="FKJ476" s="54"/>
      <c r="FKK476" s="54"/>
      <c r="FKL476" s="54"/>
      <c r="FKM476" s="54"/>
      <c r="FKN476" s="54"/>
      <c r="FKO476" s="54"/>
      <c r="FKP476" s="54"/>
      <c r="FKQ476" s="54"/>
      <c r="FKR476" s="54"/>
      <c r="FKS476" s="54"/>
      <c r="FKT476" s="54"/>
      <c r="FKU476" s="54"/>
      <c r="FKV476" s="54"/>
      <c r="FKW476" s="54"/>
      <c r="FKX476" s="54"/>
      <c r="FKY476" s="54"/>
      <c r="FKZ476" s="54"/>
      <c r="FLA476" s="54"/>
      <c r="FLB476" s="54"/>
      <c r="FLC476" s="54"/>
      <c r="FLD476" s="54"/>
      <c r="FLE476" s="54"/>
      <c r="FLF476" s="54"/>
      <c r="FLG476" s="54"/>
      <c r="FLH476" s="54"/>
      <c r="FLI476" s="54"/>
      <c r="FLJ476" s="54"/>
      <c r="FLK476" s="54"/>
      <c r="FLL476" s="54"/>
      <c r="FLM476" s="54"/>
      <c r="FLN476" s="54"/>
      <c r="FLO476" s="54"/>
      <c r="FLP476" s="54"/>
      <c r="FLQ476" s="54"/>
      <c r="FLR476" s="54"/>
      <c r="FLS476" s="54"/>
      <c r="FLT476" s="54"/>
      <c r="FLU476" s="54"/>
      <c r="FLV476" s="54"/>
      <c r="FLW476" s="54"/>
      <c r="FLX476" s="54"/>
      <c r="FLY476" s="54"/>
      <c r="FLZ476" s="54"/>
      <c r="FMA476" s="54"/>
      <c r="FMB476" s="54"/>
      <c r="FMC476" s="54"/>
      <c r="FMD476" s="54"/>
      <c r="FME476" s="54"/>
      <c r="FMF476" s="54"/>
      <c r="FMG476" s="54"/>
      <c r="FMH476" s="54"/>
      <c r="FMI476" s="54"/>
      <c r="FMJ476" s="54"/>
      <c r="FMK476" s="54"/>
      <c r="FML476" s="54"/>
      <c r="FMM476" s="54"/>
      <c r="FMN476" s="54"/>
      <c r="FMO476" s="54"/>
      <c r="FMP476" s="54"/>
      <c r="FMQ476" s="54"/>
      <c r="FMR476" s="54"/>
      <c r="FMS476" s="54"/>
      <c r="FMT476" s="54"/>
      <c r="FMU476" s="54"/>
      <c r="FMV476" s="54"/>
      <c r="FMW476" s="54"/>
      <c r="FMX476" s="54"/>
      <c r="FMY476" s="54"/>
      <c r="FMZ476" s="54"/>
      <c r="FNA476" s="54"/>
      <c r="FNB476" s="54"/>
      <c r="FNC476" s="54"/>
      <c r="FND476" s="54"/>
      <c r="FNE476" s="54"/>
      <c r="FNF476" s="54"/>
      <c r="FNG476" s="54"/>
      <c r="FNH476" s="54"/>
      <c r="FNI476" s="54"/>
      <c r="FNJ476" s="54"/>
      <c r="FNK476" s="54"/>
      <c r="FNL476" s="54"/>
      <c r="FNM476" s="54"/>
      <c r="FNN476" s="54"/>
      <c r="FNO476" s="54"/>
      <c r="FNP476" s="54"/>
      <c r="FNQ476" s="54"/>
      <c r="FNR476" s="54"/>
      <c r="FNS476" s="54"/>
      <c r="FNT476" s="54"/>
      <c r="FNU476" s="54"/>
      <c r="FNV476" s="54"/>
      <c r="FNW476" s="54"/>
      <c r="FNX476" s="54"/>
      <c r="FNY476" s="54"/>
      <c r="FNZ476" s="54"/>
      <c r="FOA476" s="54"/>
      <c r="FOB476" s="54"/>
      <c r="FOC476" s="54"/>
      <c r="FOD476" s="54"/>
      <c r="FOE476" s="54"/>
      <c r="FOF476" s="54"/>
      <c r="FOG476" s="54"/>
      <c r="FOH476" s="54"/>
      <c r="FOI476" s="54"/>
      <c r="FOJ476" s="54"/>
      <c r="FOK476" s="54"/>
      <c r="FOL476" s="54"/>
      <c r="FOM476" s="54"/>
      <c r="FON476" s="54"/>
      <c r="FOO476" s="54"/>
      <c r="FOP476" s="54"/>
      <c r="FOQ476" s="54"/>
      <c r="FOR476" s="54"/>
      <c r="FOS476" s="54"/>
      <c r="FOT476" s="54"/>
      <c r="FOU476" s="54"/>
      <c r="FOV476" s="54"/>
      <c r="FOW476" s="54"/>
      <c r="FOX476" s="54"/>
      <c r="FOY476" s="54"/>
      <c r="FOZ476" s="54"/>
      <c r="FPA476" s="54"/>
      <c r="FPB476" s="54"/>
      <c r="FPC476" s="54"/>
      <c r="FPD476" s="54"/>
      <c r="FPE476" s="54"/>
      <c r="FPF476" s="54"/>
      <c r="FPG476" s="54"/>
      <c r="FPH476" s="54"/>
      <c r="FPI476" s="54"/>
      <c r="FPJ476" s="54"/>
      <c r="FPK476" s="54"/>
      <c r="FPL476" s="54"/>
      <c r="FPM476" s="54"/>
      <c r="FPN476" s="54"/>
      <c r="FPO476" s="54"/>
      <c r="FPP476" s="54"/>
      <c r="FPQ476" s="54"/>
      <c r="FPR476" s="54"/>
      <c r="FPS476" s="54"/>
      <c r="FPT476" s="54"/>
      <c r="FPU476" s="54"/>
      <c r="FPV476" s="54"/>
      <c r="FPW476" s="54"/>
      <c r="FPX476" s="54"/>
      <c r="FPY476" s="54"/>
      <c r="FPZ476" s="54"/>
      <c r="FQA476" s="54"/>
      <c r="FQB476" s="54"/>
      <c r="FQC476" s="54"/>
      <c r="FQD476" s="54"/>
      <c r="FQE476" s="54"/>
      <c r="FQF476" s="54"/>
      <c r="FQG476" s="54"/>
      <c r="FQH476" s="54"/>
      <c r="FQI476" s="54"/>
      <c r="FQJ476" s="54"/>
      <c r="FQK476" s="54"/>
      <c r="FQL476" s="54"/>
      <c r="FQM476" s="54"/>
      <c r="FQN476" s="54"/>
      <c r="FQO476" s="54"/>
      <c r="FQP476" s="54"/>
      <c r="FQQ476" s="54"/>
      <c r="FQR476" s="54"/>
      <c r="FQS476" s="54"/>
      <c r="FQT476" s="54"/>
      <c r="FQU476" s="54"/>
      <c r="FQV476" s="54"/>
      <c r="FQW476" s="54"/>
      <c r="FQX476" s="54"/>
      <c r="FQY476" s="54"/>
      <c r="FQZ476" s="54"/>
      <c r="FRA476" s="54"/>
      <c r="FRB476" s="54"/>
      <c r="FRC476" s="54"/>
      <c r="FRD476" s="54"/>
      <c r="FRE476" s="54"/>
      <c r="FRF476" s="54"/>
      <c r="FRG476" s="54"/>
      <c r="FRH476" s="54"/>
      <c r="FRI476" s="54"/>
      <c r="FRJ476" s="54"/>
      <c r="FRK476" s="54"/>
      <c r="FRL476" s="54"/>
      <c r="FRM476" s="54"/>
      <c r="FRN476" s="54"/>
      <c r="FRO476" s="54"/>
      <c r="FRP476" s="54"/>
      <c r="FRQ476" s="54"/>
      <c r="FRR476" s="54"/>
      <c r="FRS476" s="54"/>
      <c r="FRT476" s="54"/>
      <c r="FRU476" s="54"/>
      <c r="FRV476" s="54"/>
      <c r="FRW476" s="54"/>
      <c r="FRX476" s="54"/>
      <c r="FRY476" s="54"/>
      <c r="FRZ476" s="54"/>
      <c r="FSA476" s="54"/>
      <c r="FSB476" s="54"/>
      <c r="FSC476" s="54"/>
      <c r="FSD476" s="54"/>
      <c r="FSE476" s="54"/>
      <c r="FSF476" s="54"/>
      <c r="FSG476" s="54"/>
      <c r="FSH476" s="54"/>
      <c r="FSI476" s="54"/>
      <c r="FSJ476" s="54"/>
      <c r="FSK476" s="54"/>
      <c r="FSL476" s="54"/>
      <c r="FSM476" s="54"/>
      <c r="FSN476" s="54"/>
      <c r="FSO476" s="54"/>
      <c r="FSP476" s="54"/>
      <c r="FSQ476" s="54"/>
      <c r="FSR476" s="54"/>
      <c r="FSS476" s="54"/>
      <c r="FST476" s="54"/>
      <c r="FSU476" s="54"/>
      <c r="FSV476" s="54"/>
      <c r="FSW476" s="54"/>
      <c r="FSX476" s="54"/>
      <c r="FSY476" s="54"/>
      <c r="FSZ476" s="54"/>
      <c r="FTA476" s="54"/>
      <c r="FTB476" s="54"/>
      <c r="FTC476" s="54"/>
      <c r="FTD476" s="54"/>
      <c r="FTE476" s="54"/>
      <c r="FTF476" s="54"/>
      <c r="FTG476" s="54"/>
      <c r="FTH476" s="54"/>
      <c r="FTI476" s="54"/>
      <c r="FTJ476" s="54"/>
      <c r="FTK476" s="54"/>
      <c r="FTL476" s="54"/>
      <c r="FTM476" s="54"/>
      <c r="FTN476" s="54"/>
      <c r="FTO476" s="54"/>
      <c r="FTP476" s="54"/>
      <c r="FTQ476" s="54"/>
      <c r="FTR476" s="54"/>
      <c r="FTS476" s="54"/>
      <c r="FTT476" s="54"/>
      <c r="FTU476" s="54"/>
      <c r="FTV476" s="54"/>
      <c r="FTW476" s="54"/>
      <c r="FTX476" s="54"/>
      <c r="FTY476" s="54"/>
      <c r="FTZ476" s="54"/>
      <c r="FUA476" s="54"/>
      <c r="FUB476" s="54"/>
      <c r="FUC476" s="54"/>
      <c r="FUD476" s="54"/>
      <c r="FUE476" s="54"/>
      <c r="FUF476" s="54"/>
      <c r="FUG476" s="54"/>
      <c r="FUH476" s="54"/>
      <c r="FUI476" s="54"/>
      <c r="FUJ476" s="54"/>
      <c r="FUK476" s="54"/>
      <c r="FUL476" s="54"/>
      <c r="FUM476" s="54"/>
      <c r="FUN476" s="54"/>
      <c r="FUO476" s="54"/>
      <c r="FUP476" s="54"/>
      <c r="FUQ476" s="54"/>
      <c r="FUR476" s="54"/>
      <c r="FUS476" s="54"/>
      <c r="FUT476" s="54"/>
      <c r="FUU476" s="54"/>
      <c r="FUV476" s="54"/>
      <c r="FUW476" s="54"/>
      <c r="FUX476" s="54"/>
      <c r="FUY476" s="54"/>
      <c r="FUZ476" s="54"/>
      <c r="FVA476" s="54"/>
      <c r="FVB476" s="54"/>
      <c r="FVC476" s="54"/>
      <c r="FVD476" s="54"/>
      <c r="FVE476" s="54"/>
      <c r="FVF476" s="54"/>
      <c r="FVG476" s="54"/>
      <c r="FVH476" s="54"/>
      <c r="FVI476" s="54"/>
      <c r="FVJ476" s="54"/>
      <c r="FVK476" s="54"/>
      <c r="FVL476" s="54"/>
      <c r="FVM476" s="54"/>
      <c r="FVN476" s="54"/>
      <c r="FVO476" s="54"/>
      <c r="FVP476" s="54"/>
      <c r="FVQ476" s="54"/>
      <c r="FVR476" s="54"/>
      <c r="FVS476" s="54"/>
      <c r="FVT476" s="54"/>
      <c r="FVU476" s="54"/>
      <c r="FVV476" s="54"/>
      <c r="FVW476" s="54"/>
      <c r="FVX476" s="54"/>
      <c r="FVY476" s="54"/>
      <c r="FVZ476" s="54"/>
      <c r="FWA476" s="54"/>
      <c r="FWB476" s="54"/>
      <c r="FWC476" s="54"/>
      <c r="FWD476" s="54"/>
      <c r="FWE476" s="54"/>
      <c r="FWF476" s="54"/>
      <c r="FWG476" s="54"/>
      <c r="FWH476" s="54"/>
      <c r="FWI476" s="54"/>
      <c r="FWJ476" s="54"/>
      <c r="FWK476" s="54"/>
      <c r="FWL476" s="54"/>
      <c r="FWM476" s="54"/>
      <c r="FWN476" s="54"/>
      <c r="FWO476" s="54"/>
      <c r="FWP476" s="54"/>
      <c r="FWQ476" s="54"/>
      <c r="FWR476" s="54"/>
      <c r="FWS476" s="54"/>
      <c r="FWT476" s="54"/>
      <c r="FWU476" s="54"/>
      <c r="FWV476" s="54"/>
      <c r="FWW476" s="54"/>
      <c r="FWX476" s="54"/>
      <c r="FWY476" s="54"/>
      <c r="FWZ476" s="54"/>
      <c r="FXA476" s="54"/>
      <c r="FXB476" s="54"/>
      <c r="FXC476" s="54"/>
      <c r="FXD476" s="54"/>
      <c r="FXE476" s="54"/>
      <c r="FXF476" s="54"/>
      <c r="FXG476" s="54"/>
      <c r="FXH476" s="54"/>
      <c r="FXI476" s="54"/>
      <c r="FXJ476" s="54"/>
      <c r="FXK476" s="54"/>
      <c r="FXL476" s="54"/>
      <c r="FXM476" s="54"/>
      <c r="FXN476" s="54"/>
      <c r="FXO476" s="54"/>
      <c r="FXP476" s="54"/>
      <c r="FXQ476" s="54"/>
      <c r="FXR476" s="54"/>
      <c r="FXS476" s="54"/>
      <c r="FXT476" s="54"/>
      <c r="FXU476" s="54"/>
      <c r="FXV476" s="54"/>
      <c r="FXW476" s="54"/>
      <c r="FXX476" s="54"/>
      <c r="FXY476" s="54"/>
      <c r="FXZ476" s="54"/>
      <c r="FYA476" s="54"/>
      <c r="FYB476" s="54"/>
      <c r="FYC476" s="54"/>
      <c r="FYD476" s="54"/>
      <c r="FYE476" s="54"/>
      <c r="FYF476" s="54"/>
      <c r="FYG476" s="54"/>
      <c r="FYH476" s="54"/>
      <c r="FYI476" s="54"/>
      <c r="FYJ476" s="54"/>
      <c r="FYK476" s="54"/>
      <c r="FYL476" s="54"/>
      <c r="FYM476" s="54"/>
      <c r="FYN476" s="54"/>
      <c r="FYO476" s="54"/>
      <c r="FYP476" s="54"/>
      <c r="FYQ476" s="54"/>
      <c r="FYR476" s="54"/>
      <c r="FYS476" s="54"/>
      <c r="FYT476" s="54"/>
      <c r="FYU476" s="54"/>
      <c r="FYV476" s="54"/>
      <c r="FYW476" s="54"/>
      <c r="FYX476" s="54"/>
      <c r="FYY476" s="54"/>
      <c r="FYZ476" s="54"/>
      <c r="FZA476" s="54"/>
      <c r="FZB476" s="54"/>
      <c r="FZC476" s="54"/>
      <c r="FZD476" s="54"/>
      <c r="FZE476" s="54"/>
      <c r="FZF476" s="54"/>
      <c r="FZG476" s="54"/>
      <c r="FZH476" s="54"/>
      <c r="FZI476" s="54"/>
      <c r="FZJ476" s="54"/>
      <c r="FZK476" s="54"/>
      <c r="FZL476" s="54"/>
      <c r="FZM476" s="54"/>
      <c r="FZN476" s="54"/>
      <c r="FZO476" s="54"/>
      <c r="FZP476" s="54"/>
      <c r="FZQ476" s="54"/>
      <c r="FZR476" s="54"/>
      <c r="FZS476" s="54"/>
      <c r="FZT476" s="54"/>
      <c r="FZU476" s="54"/>
      <c r="FZV476" s="54"/>
      <c r="FZW476" s="54"/>
      <c r="FZX476" s="54"/>
      <c r="FZY476" s="54"/>
      <c r="FZZ476" s="54"/>
      <c r="GAA476" s="54"/>
      <c r="GAB476" s="54"/>
      <c r="GAC476" s="54"/>
      <c r="GAD476" s="54"/>
      <c r="GAE476" s="54"/>
      <c r="GAF476" s="54"/>
      <c r="GAG476" s="54"/>
      <c r="GAH476" s="54"/>
      <c r="GAI476" s="54"/>
      <c r="GAJ476" s="54"/>
      <c r="GAK476" s="54"/>
      <c r="GAL476" s="54"/>
      <c r="GAM476" s="54"/>
      <c r="GAN476" s="54"/>
      <c r="GAO476" s="54"/>
      <c r="GAP476" s="54"/>
      <c r="GAQ476" s="54"/>
      <c r="GAR476" s="54"/>
      <c r="GAS476" s="54"/>
      <c r="GAT476" s="54"/>
      <c r="GAU476" s="54"/>
      <c r="GAV476" s="54"/>
      <c r="GAW476" s="54"/>
      <c r="GAX476" s="54"/>
      <c r="GAY476" s="54"/>
      <c r="GAZ476" s="54"/>
      <c r="GBA476" s="54"/>
      <c r="GBB476" s="54"/>
      <c r="GBC476" s="54"/>
      <c r="GBD476" s="54"/>
      <c r="GBE476" s="54"/>
      <c r="GBF476" s="54"/>
      <c r="GBG476" s="54"/>
      <c r="GBH476" s="54"/>
      <c r="GBI476" s="54"/>
      <c r="GBJ476" s="54"/>
      <c r="GBK476" s="54"/>
      <c r="GBL476" s="54"/>
      <c r="GBM476" s="54"/>
      <c r="GBN476" s="54"/>
      <c r="GBO476" s="54"/>
      <c r="GBP476" s="54"/>
      <c r="GBQ476" s="54"/>
      <c r="GBR476" s="54"/>
      <c r="GBS476" s="54"/>
      <c r="GBT476" s="54"/>
      <c r="GBU476" s="54"/>
      <c r="GBV476" s="54"/>
      <c r="GBW476" s="54"/>
      <c r="GBX476" s="54"/>
      <c r="GBY476" s="54"/>
      <c r="GBZ476" s="54"/>
      <c r="GCA476" s="54"/>
      <c r="GCB476" s="54"/>
      <c r="GCC476" s="54"/>
      <c r="GCD476" s="54"/>
      <c r="GCE476" s="54"/>
      <c r="GCF476" s="54"/>
      <c r="GCG476" s="54"/>
      <c r="GCH476" s="54"/>
      <c r="GCI476" s="54"/>
      <c r="GCJ476" s="54"/>
      <c r="GCK476" s="54"/>
      <c r="GCL476" s="54"/>
      <c r="GCM476" s="54"/>
      <c r="GCN476" s="54"/>
      <c r="GCO476" s="54"/>
      <c r="GCP476" s="54"/>
      <c r="GCQ476" s="54"/>
      <c r="GCR476" s="54"/>
      <c r="GCS476" s="54"/>
      <c r="GCT476" s="54"/>
      <c r="GCU476" s="54"/>
      <c r="GCV476" s="54"/>
      <c r="GCW476" s="54"/>
      <c r="GCX476" s="54"/>
      <c r="GCY476" s="54"/>
      <c r="GCZ476" s="54"/>
      <c r="GDA476" s="54"/>
      <c r="GDB476" s="54"/>
      <c r="GDC476" s="54"/>
      <c r="GDD476" s="54"/>
      <c r="GDE476" s="54"/>
      <c r="GDF476" s="54"/>
      <c r="GDG476" s="54"/>
      <c r="GDH476" s="54"/>
      <c r="GDI476" s="54"/>
      <c r="GDJ476" s="54"/>
      <c r="GDK476" s="54"/>
      <c r="GDL476" s="54"/>
      <c r="GDM476" s="54"/>
      <c r="GDN476" s="54"/>
      <c r="GDO476" s="54"/>
      <c r="GDP476" s="54"/>
      <c r="GDQ476" s="54"/>
      <c r="GDR476" s="54"/>
      <c r="GDS476" s="54"/>
      <c r="GDT476" s="54"/>
      <c r="GDU476" s="54"/>
      <c r="GDV476" s="54"/>
      <c r="GDW476" s="54"/>
      <c r="GDX476" s="54"/>
      <c r="GDY476" s="54"/>
      <c r="GDZ476" s="54"/>
      <c r="GEA476" s="54"/>
      <c r="GEB476" s="54"/>
      <c r="GEC476" s="54"/>
      <c r="GED476" s="54"/>
      <c r="GEE476" s="54"/>
      <c r="GEF476" s="54"/>
      <c r="GEG476" s="54"/>
      <c r="GEH476" s="54"/>
      <c r="GEI476" s="54"/>
      <c r="GEJ476" s="54"/>
      <c r="GEK476" s="54"/>
      <c r="GEL476" s="54"/>
      <c r="GEM476" s="54"/>
      <c r="GEN476" s="54"/>
      <c r="GEO476" s="54"/>
      <c r="GEP476" s="54"/>
      <c r="GEQ476" s="54"/>
      <c r="GER476" s="54"/>
      <c r="GES476" s="54"/>
      <c r="GET476" s="54"/>
      <c r="GEU476" s="54"/>
      <c r="GEV476" s="54"/>
      <c r="GEW476" s="54"/>
      <c r="GEX476" s="54"/>
      <c r="GEY476" s="54"/>
      <c r="GEZ476" s="54"/>
      <c r="GFA476" s="54"/>
      <c r="GFB476" s="54"/>
      <c r="GFC476" s="54"/>
      <c r="GFD476" s="54"/>
      <c r="GFE476" s="54"/>
      <c r="GFF476" s="54"/>
      <c r="GFG476" s="54"/>
      <c r="GFH476" s="54"/>
      <c r="GFI476" s="54"/>
      <c r="GFJ476" s="54"/>
      <c r="GFK476" s="54"/>
      <c r="GFL476" s="54"/>
      <c r="GFM476" s="54"/>
      <c r="GFN476" s="54"/>
      <c r="GFO476" s="54"/>
      <c r="GFP476" s="54"/>
      <c r="GFQ476" s="54"/>
      <c r="GFR476" s="54"/>
      <c r="GFS476" s="54"/>
      <c r="GFT476" s="54"/>
      <c r="GFU476" s="54"/>
      <c r="GFV476" s="54"/>
      <c r="GFW476" s="54"/>
      <c r="GFX476" s="54"/>
      <c r="GFY476" s="54"/>
      <c r="GFZ476" s="54"/>
      <c r="GGA476" s="54"/>
      <c r="GGB476" s="54"/>
      <c r="GGC476" s="54"/>
      <c r="GGD476" s="54"/>
      <c r="GGE476" s="54"/>
      <c r="GGF476" s="54"/>
      <c r="GGG476" s="54"/>
      <c r="GGH476" s="54"/>
      <c r="GGI476" s="54"/>
      <c r="GGJ476" s="54"/>
      <c r="GGK476" s="54"/>
      <c r="GGL476" s="54"/>
      <c r="GGM476" s="54"/>
      <c r="GGN476" s="54"/>
      <c r="GGO476" s="54"/>
      <c r="GGP476" s="54"/>
      <c r="GGQ476" s="54"/>
      <c r="GGR476" s="54"/>
      <c r="GGS476" s="54"/>
      <c r="GGT476" s="54"/>
      <c r="GGU476" s="54"/>
      <c r="GGV476" s="54"/>
      <c r="GGW476" s="54"/>
      <c r="GGX476" s="54"/>
      <c r="GGY476" s="54"/>
      <c r="GGZ476" s="54"/>
      <c r="GHA476" s="54"/>
      <c r="GHB476" s="54"/>
      <c r="GHC476" s="54"/>
      <c r="GHD476" s="54"/>
      <c r="GHE476" s="54"/>
      <c r="GHF476" s="54"/>
      <c r="GHG476" s="54"/>
      <c r="GHH476" s="54"/>
      <c r="GHI476" s="54"/>
      <c r="GHJ476" s="54"/>
      <c r="GHK476" s="54"/>
      <c r="GHL476" s="54"/>
      <c r="GHM476" s="54"/>
      <c r="GHN476" s="54"/>
      <c r="GHO476" s="54"/>
      <c r="GHP476" s="54"/>
      <c r="GHQ476" s="54"/>
      <c r="GHR476" s="54"/>
      <c r="GHS476" s="54"/>
      <c r="GHT476" s="54"/>
      <c r="GHU476" s="54"/>
      <c r="GHV476" s="54"/>
      <c r="GHW476" s="54"/>
      <c r="GHX476" s="54"/>
      <c r="GHY476" s="54"/>
      <c r="GHZ476" s="54"/>
      <c r="GIA476" s="54"/>
      <c r="GIB476" s="54"/>
      <c r="GIC476" s="54"/>
      <c r="GID476" s="54"/>
      <c r="GIE476" s="54"/>
      <c r="GIF476" s="54"/>
      <c r="GIG476" s="54"/>
      <c r="GIH476" s="54"/>
      <c r="GII476" s="54"/>
      <c r="GIJ476" s="54"/>
      <c r="GIK476" s="54"/>
      <c r="GIL476" s="54"/>
      <c r="GIM476" s="54"/>
      <c r="GIN476" s="54"/>
      <c r="GIO476" s="54"/>
      <c r="GIP476" s="54"/>
      <c r="GIQ476" s="54"/>
      <c r="GIR476" s="54"/>
      <c r="GIS476" s="54"/>
      <c r="GIT476" s="54"/>
      <c r="GIU476" s="54"/>
      <c r="GIV476" s="54"/>
      <c r="GIW476" s="54"/>
      <c r="GIX476" s="54"/>
      <c r="GIY476" s="54"/>
      <c r="GIZ476" s="54"/>
      <c r="GJA476" s="54"/>
      <c r="GJB476" s="54"/>
      <c r="GJC476" s="54"/>
      <c r="GJD476" s="54"/>
      <c r="GJE476" s="54"/>
      <c r="GJF476" s="54"/>
      <c r="GJG476" s="54"/>
      <c r="GJH476" s="54"/>
      <c r="GJI476" s="54"/>
      <c r="GJJ476" s="54"/>
      <c r="GJK476" s="54"/>
      <c r="GJL476" s="54"/>
      <c r="GJM476" s="54"/>
      <c r="GJN476" s="54"/>
      <c r="GJO476" s="54"/>
      <c r="GJP476" s="54"/>
      <c r="GJQ476" s="54"/>
      <c r="GJR476" s="54"/>
      <c r="GJS476" s="54"/>
      <c r="GJT476" s="54"/>
      <c r="GJU476" s="54"/>
      <c r="GJV476" s="54"/>
      <c r="GJW476" s="54"/>
      <c r="GJX476" s="54"/>
      <c r="GJY476" s="54"/>
      <c r="GJZ476" s="54"/>
      <c r="GKA476" s="54"/>
      <c r="GKB476" s="54"/>
      <c r="GKC476" s="54"/>
      <c r="GKD476" s="54"/>
      <c r="GKE476" s="54"/>
      <c r="GKF476" s="54"/>
      <c r="GKG476" s="54"/>
      <c r="GKH476" s="54"/>
      <c r="GKI476" s="54"/>
      <c r="GKJ476" s="54"/>
      <c r="GKK476" s="54"/>
      <c r="GKL476" s="54"/>
      <c r="GKM476" s="54"/>
      <c r="GKN476" s="54"/>
      <c r="GKO476" s="54"/>
      <c r="GKP476" s="54"/>
      <c r="GKQ476" s="54"/>
      <c r="GKR476" s="54"/>
      <c r="GKS476" s="54"/>
      <c r="GKT476" s="54"/>
      <c r="GKU476" s="54"/>
      <c r="GKV476" s="54"/>
      <c r="GKW476" s="54"/>
      <c r="GKX476" s="54"/>
      <c r="GKY476" s="54"/>
      <c r="GKZ476" s="54"/>
      <c r="GLA476" s="54"/>
      <c r="GLB476" s="54"/>
      <c r="GLC476" s="54"/>
      <c r="GLD476" s="54"/>
      <c r="GLE476" s="54"/>
      <c r="GLF476" s="54"/>
      <c r="GLG476" s="54"/>
      <c r="GLH476" s="54"/>
      <c r="GLI476" s="54"/>
      <c r="GLJ476" s="54"/>
      <c r="GLK476" s="54"/>
      <c r="GLL476" s="54"/>
      <c r="GLM476" s="54"/>
      <c r="GLN476" s="54"/>
      <c r="GLO476" s="54"/>
      <c r="GLP476" s="54"/>
      <c r="GLQ476" s="54"/>
      <c r="GLR476" s="54"/>
      <c r="GLS476" s="54"/>
      <c r="GLT476" s="54"/>
      <c r="GLU476" s="54"/>
      <c r="GLV476" s="54"/>
      <c r="GLW476" s="54"/>
      <c r="GLX476" s="54"/>
      <c r="GLY476" s="54"/>
      <c r="GLZ476" s="54"/>
      <c r="GMA476" s="54"/>
      <c r="GMB476" s="54"/>
      <c r="GMC476" s="54"/>
      <c r="GMD476" s="54"/>
      <c r="GME476" s="54"/>
      <c r="GMF476" s="54"/>
      <c r="GMG476" s="54"/>
      <c r="GMH476" s="54"/>
      <c r="GMI476" s="54"/>
      <c r="GMJ476" s="54"/>
      <c r="GMK476" s="54"/>
      <c r="GML476" s="54"/>
      <c r="GMM476" s="54"/>
      <c r="GMN476" s="54"/>
      <c r="GMO476" s="54"/>
      <c r="GMP476" s="54"/>
      <c r="GMQ476" s="54"/>
      <c r="GMR476" s="54"/>
      <c r="GMS476" s="54"/>
      <c r="GMT476" s="54"/>
      <c r="GMU476" s="54"/>
      <c r="GMV476" s="54"/>
      <c r="GMW476" s="54"/>
      <c r="GMX476" s="54"/>
      <c r="GMY476" s="54"/>
      <c r="GMZ476" s="54"/>
      <c r="GNA476" s="54"/>
      <c r="GNB476" s="54"/>
      <c r="GNC476" s="54"/>
      <c r="GND476" s="54"/>
      <c r="GNE476" s="54"/>
      <c r="GNF476" s="54"/>
      <c r="GNG476" s="54"/>
      <c r="GNH476" s="54"/>
      <c r="GNI476" s="54"/>
      <c r="GNJ476" s="54"/>
      <c r="GNK476" s="54"/>
      <c r="GNL476" s="54"/>
      <c r="GNM476" s="54"/>
      <c r="GNN476" s="54"/>
      <c r="GNO476" s="54"/>
      <c r="GNP476" s="54"/>
      <c r="GNQ476" s="54"/>
      <c r="GNR476" s="54"/>
      <c r="GNS476" s="54"/>
      <c r="GNT476" s="54"/>
      <c r="GNU476" s="54"/>
      <c r="GNV476" s="54"/>
      <c r="GNW476" s="54"/>
      <c r="GNX476" s="54"/>
      <c r="GNY476" s="54"/>
      <c r="GNZ476" s="54"/>
      <c r="GOA476" s="54"/>
      <c r="GOB476" s="54"/>
      <c r="GOC476" s="54"/>
      <c r="GOD476" s="54"/>
      <c r="GOE476" s="54"/>
      <c r="GOF476" s="54"/>
      <c r="GOG476" s="54"/>
      <c r="GOH476" s="54"/>
      <c r="GOI476" s="54"/>
      <c r="GOJ476" s="54"/>
      <c r="GOK476" s="54"/>
      <c r="GOL476" s="54"/>
      <c r="GOM476" s="54"/>
      <c r="GON476" s="54"/>
      <c r="GOO476" s="54"/>
      <c r="GOP476" s="54"/>
      <c r="GOQ476" s="54"/>
      <c r="GOR476" s="54"/>
      <c r="GOS476" s="54"/>
      <c r="GOT476" s="54"/>
      <c r="GOU476" s="54"/>
      <c r="GOV476" s="54"/>
      <c r="GOW476" s="54"/>
      <c r="GOX476" s="54"/>
      <c r="GOY476" s="54"/>
      <c r="GOZ476" s="54"/>
      <c r="GPA476" s="54"/>
      <c r="GPB476" s="54"/>
      <c r="GPC476" s="54"/>
      <c r="GPD476" s="54"/>
      <c r="GPE476" s="54"/>
      <c r="GPF476" s="54"/>
      <c r="GPG476" s="54"/>
      <c r="GPH476" s="54"/>
      <c r="GPI476" s="54"/>
      <c r="GPJ476" s="54"/>
      <c r="GPK476" s="54"/>
      <c r="GPL476" s="54"/>
      <c r="GPM476" s="54"/>
      <c r="GPN476" s="54"/>
      <c r="GPO476" s="54"/>
      <c r="GPP476" s="54"/>
      <c r="GPQ476" s="54"/>
      <c r="GPR476" s="54"/>
      <c r="GPS476" s="54"/>
      <c r="GPT476" s="54"/>
      <c r="GPU476" s="54"/>
      <c r="GPV476" s="54"/>
      <c r="GPW476" s="54"/>
      <c r="GPX476" s="54"/>
      <c r="GPY476" s="54"/>
      <c r="GPZ476" s="54"/>
      <c r="GQA476" s="54"/>
      <c r="GQB476" s="54"/>
      <c r="GQC476" s="54"/>
      <c r="GQD476" s="54"/>
      <c r="GQE476" s="54"/>
      <c r="GQF476" s="54"/>
      <c r="GQG476" s="54"/>
      <c r="GQH476" s="54"/>
      <c r="GQI476" s="54"/>
      <c r="GQJ476" s="54"/>
      <c r="GQK476" s="54"/>
      <c r="GQL476" s="54"/>
      <c r="GQM476" s="54"/>
      <c r="GQN476" s="54"/>
      <c r="GQO476" s="54"/>
      <c r="GQP476" s="54"/>
      <c r="GQQ476" s="54"/>
      <c r="GQR476" s="54"/>
      <c r="GQS476" s="54"/>
      <c r="GQT476" s="54"/>
      <c r="GQU476" s="54"/>
      <c r="GQV476" s="54"/>
      <c r="GQW476" s="54"/>
      <c r="GQX476" s="54"/>
      <c r="GQY476" s="54"/>
      <c r="GQZ476" s="54"/>
      <c r="GRA476" s="54"/>
      <c r="GRB476" s="54"/>
      <c r="GRC476" s="54"/>
      <c r="GRD476" s="54"/>
      <c r="GRE476" s="54"/>
      <c r="GRF476" s="54"/>
      <c r="GRG476" s="54"/>
      <c r="GRH476" s="54"/>
      <c r="GRI476" s="54"/>
      <c r="GRJ476" s="54"/>
      <c r="GRK476" s="54"/>
      <c r="GRL476" s="54"/>
      <c r="GRM476" s="54"/>
      <c r="GRN476" s="54"/>
      <c r="GRO476" s="54"/>
      <c r="GRP476" s="54"/>
      <c r="GRQ476" s="54"/>
      <c r="GRR476" s="54"/>
      <c r="GRS476" s="54"/>
      <c r="GRT476" s="54"/>
      <c r="GRU476" s="54"/>
      <c r="GRV476" s="54"/>
      <c r="GRW476" s="54"/>
      <c r="GRX476" s="54"/>
      <c r="GRY476" s="54"/>
      <c r="GRZ476" s="54"/>
      <c r="GSA476" s="54"/>
      <c r="GSB476" s="54"/>
      <c r="GSC476" s="54"/>
      <c r="GSD476" s="54"/>
      <c r="GSE476" s="54"/>
      <c r="GSF476" s="54"/>
      <c r="GSG476" s="54"/>
      <c r="GSH476" s="54"/>
      <c r="GSI476" s="54"/>
      <c r="GSJ476" s="54"/>
      <c r="GSK476" s="54"/>
      <c r="GSL476" s="54"/>
      <c r="GSM476" s="54"/>
      <c r="GSN476" s="54"/>
      <c r="GSO476" s="54"/>
      <c r="GSP476" s="54"/>
      <c r="GSQ476" s="54"/>
      <c r="GSR476" s="54"/>
      <c r="GSS476" s="54"/>
      <c r="GST476" s="54"/>
      <c r="GSU476" s="54"/>
      <c r="GSV476" s="54"/>
      <c r="GSW476" s="54"/>
      <c r="GSX476" s="54"/>
      <c r="GSY476" s="54"/>
      <c r="GSZ476" s="54"/>
      <c r="GTA476" s="54"/>
      <c r="GTB476" s="54"/>
      <c r="GTC476" s="54"/>
      <c r="GTD476" s="54"/>
      <c r="GTE476" s="54"/>
      <c r="GTF476" s="54"/>
      <c r="GTG476" s="54"/>
      <c r="GTH476" s="54"/>
      <c r="GTI476" s="54"/>
      <c r="GTJ476" s="54"/>
      <c r="GTK476" s="54"/>
      <c r="GTL476" s="54"/>
      <c r="GTM476" s="54"/>
      <c r="GTN476" s="54"/>
      <c r="GTO476" s="54"/>
      <c r="GTP476" s="54"/>
      <c r="GTQ476" s="54"/>
      <c r="GTR476" s="54"/>
      <c r="GTS476" s="54"/>
      <c r="GTT476" s="54"/>
      <c r="GTU476" s="54"/>
      <c r="GTV476" s="54"/>
      <c r="GTW476" s="54"/>
      <c r="GTX476" s="54"/>
      <c r="GTY476" s="54"/>
      <c r="GTZ476" s="54"/>
      <c r="GUA476" s="54"/>
      <c r="GUB476" s="54"/>
      <c r="GUC476" s="54"/>
      <c r="GUD476" s="54"/>
      <c r="GUE476" s="54"/>
      <c r="GUF476" s="54"/>
      <c r="GUG476" s="54"/>
      <c r="GUH476" s="54"/>
      <c r="GUI476" s="54"/>
      <c r="GUJ476" s="54"/>
      <c r="GUK476" s="54"/>
      <c r="GUL476" s="54"/>
      <c r="GUM476" s="54"/>
      <c r="GUN476" s="54"/>
      <c r="GUO476" s="54"/>
      <c r="GUP476" s="54"/>
      <c r="GUQ476" s="54"/>
      <c r="GUR476" s="54"/>
      <c r="GUS476" s="54"/>
      <c r="GUT476" s="54"/>
      <c r="GUU476" s="54"/>
      <c r="GUV476" s="54"/>
      <c r="GUW476" s="54"/>
      <c r="GUX476" s="54"/>
      <c r="GUY476" s="54"/>
      <c r="GUZ476" s="54"/>
      <c r="GVA476" s="54"/>
      <c r="GVB476" s="54"/>
      <c r="GVC476" s="54"/>
      <c r="GVD476" s="54"/>
      <c r="GVE476" s="54"/>
      <c r="GVF476" s="54"/>
      <c r="GVG476" s="54"/>
      <c r="GVH476" s="54"/>
      <c r="GVI476" s="54"/>
      <c r="GVJ476" s="54"/>
      <c r="GVK476" s="54"/>
      <c r="GVL476" s="54"/>
      <c r="GVM476" s="54"/>
      <c r="GVN476" s="54"/>
      <c r="GVO476" s="54"/>
      <c r="GVP476" s="54"/>
      <c r="GVQ476" s="54"/>
      <c r="GVR476" s="54"/>
      <c r="GVS476" s="54"/>
      <c r="GVT476" s="54"/>
      <c r="GVU476" s="54"/>
      <c r="GVV476" s="54"/>
      <c r="GVW476" s="54"/>
      <c r="GVX476" s="54"/>
      <c r="GVY476" s="54"/>
      <c r="GVZ476" s="54"/>
      <c r="GWA476" s="54"/>
      <c r="GWB476" s="54"/>
      <c r="GWC476" s="54"/>
      <c r="GWD476" s="54"/>
      <c r="GWE476" s="54"/>
      <c r="GWF476" s="54"/>
      <c r="GWG476" s="54"/>
      <c r="GWH476" s="54"/>
      <c r="GWI476" s="54"/>
      <c r="GWJ476" s="54"/>
      <c r="GWK476" s="54"/>
      <c r="GWL476" s="54"/>
      <c r="GWM476" s="54"/>
      <c r="GWN476" s="54"/>
      <c r="GWO476" s="54"/>
      <c r="GWP476" s="54"/>
      <c r="GWQ476" s="54"/>
      <c r="GWR476" s="54"/>
      <c r="GWS476" s="54"/>
      <c r="GWT476" s="54"/>
      <c r="GWU476" s="54"/>
      <c r="GWV476" s="54"/>
      <c r="GWW476" s="54"/>
      <c r="GWX476" s="54"/>
      <c r="GWY476" s="54"/>
      <c r="GWZ476" s="54"/>
      <c r="GXA476" s="54"/>
      <c r="GXB476" s="54"/>
      <c r="GXC476" s="54"/>
      <c r="GXD476" s="54"/>
      <c r="GXE476" s="54"/>
      <c r="GXF476" s="54"/>
      <c r="GXG476" s="54"/>
      <c r="GXH476" s="54"/>
      <c r="GXI476" s="54"/>
      <c r="GXJ476" s="54"/>
      <c r="GXK476" s="54"/>
      <c r="GXL476" s="54"/>
      <c r="GXM476" s="54"/>
      <c r="GXN476" s="54"/>
      <c r="GXO476" s="54"/>
      <c r="GXP476" s="54"/>
      <c r="GXQ476" s="54"/>
      <c r="GXR476" s="54"/>
      <c r="GXS476" s="54"/>
      <c r="GXT476" s="54"/>
      <c r="GXU476" s="54"/>
      <c r="GXV476" s="54"/>
      <c r="GXW476" s="54"/>
      <c r="GXX476" s="54"/>
      <c r="GXY476" s="54"/>
      <c r="GXZ476" s="54"/>
      <c r="GYA476" s="54"/>
      <c r="GYB476" s="54"/>
      <c r="GYC476" s="54"/>
      <c r="GYD476" s="54"/>
      <c r="GYE476" s="54"/>
      <c r="GYF476" s="54"/>
      <c r="GYG476" s="54"/>
      <c r="GYH476" s="54"/>
      <c r="GYI476" s="54"/>
      <c r="GYJ476" s="54"/>
      <c r="GYK476" s="54"/>
      <c r="GYL476" s="54"/>
      <c r="GYM476" s="54"/>
      <c r="GYN476" s="54"/>
      <c r="GYO476" s="54"/>
      <c r="GYP476" s="54"/>
      <c r="GYQ476" s="54"/>
      <c r="GYR476" s="54"/>
      <c r="GYS476" s="54"/>
      <c r="GYT476" s="54"/>
      <c r="GYU476" s="54"/>
      <c r="GYV476" s="54"/>
      <c r="GYW476" s="54"/>
      <c r="GYX476" s="54"/>
      <c r="GYY476" s="54"/>
      <c r="GYZ476" s="54"/>
      <c r="GZA476" s="54"/>
      <c r="GZB476" s="54"/>
      <c r="GZC476" s="54"/>
      <c r="GZD476" s="54"/>
      <c r="GZE476" s="54"/>
      <c r="GZF476" s="54"/>
      <c r="GZG476" s="54"/>
      <c r="GZH476" s="54"/>
      <c r="GZI476" s="54"/>
      <c r="GZJ476" s="54"/>
      <c r="GZK476" s="54"/>
      <c r="GZL476" s="54"/>
      <c r="GZM476" s="54"/>
      <c r="GZN476" s="54"/>
      <c r="GZO476" s="54"/>
      <c r="GZP476" s="54"/>
      <c r="GZQ476" s="54"/>
      <c r="GZR476" s="54"/>
      <c r="GZS476" s="54"/>
      <c r="GZT476" s="54"/>
      <c r="GZU476" s="54"/>
      <c r="GZV476" s="54"/>
      <c r="GZW476" s="54"/>
      <c r="GZX476" s="54"/>
      <c r="GZY476" s="54"/>
      <c r="GZZ476" s="54"/>
      <c r="HAA476" s="54"/>
      <c r="HAB476" s="54"/>
      <c r="HAC476" s="54"/>
      <c r="HAD476" s="54"/>
      <c r="HAE476" s="54"/>
      <c r="HAF476" s="54"/>
      <c r="HAG476" s="54"/>
      <c r="HAH476" s="54"/>
      <c r="HAI476" s="54"/>
      <c r="HAJ476" s="54"/>
      <c r="HAK476" s="54"/>
      <c r="HAL476" s="54"/>
      <c r="HAM476" s="54"/>
      <c r="HAN476" s="54"/>
      <c r="HAO476" s="54"/>
      <c r="HAP476" s="54"/>
      <c r="HAQ476" s="54"/>
      <c r="HAR476" s="54"/>
      <c r="HAS476" s="54"/>
      <c r="HAT476" s="54"/>
      <c r="HAU476" s="54"/>
      <c r="HAV476" s="54"/>
      <c r="HAW476" s="54"/>
      <c r="HAX476" s="54"/>
      <c r="HAY476" s="54"/>
      <c r="HAZ476" s="54"/>
      <c r="HBA476" s="54"/>
      <c r="HBB476" s="54"/>
      <c r="HBC476" s="54"/>
      <c r="HBD476" s="54"/>
      <c r="HBE476" s="54"/>
      <c r="HBF476" s="54"/>
      <c r="HBG476" s="54"/>
      <c r="HBH476" s="54"/>
      <c r="HBI476" s="54"/>
      <c r="HBJ476" s="54"/>
      <c r="HBK476" s="54"/>
      <c r="HBL476" s="54"/>
      <c r="HBM476" s="54"/>
      <c r="HBN476" s="54"/>
      <c r="HBO476" s="54"/>
      <c r="HBP476" s="54"/>
      <c r="HBQ476" s="54"/>
      <c r="HBR476" s="54"/>
      <c r="HBS476" s="54"/>
      <c r="HBT476" s="54"/>
      <c r="HBU476" s="54"/>
      <c r="HBV476" s="54"/>
      <c r="HBW476" s="54"/>
      <c r="HBX476" s="54"/>
      <c r="HBY476" s="54"/>
      <c r="HBZ476" s="54"/>
      <c r="HCA476" s="54"/>
      <c r="HCB476" s="54"/>
      <c r="HCC476" s="54"/>
      <c r="HCD476" s="54"/>
      <c r="HCE476" s="54"/>
      <c r="HCF476" s="54"/>
      <c r="HCG476" s="54"/>
      <c r="HCH476" s="54"/>
      <c r="HCI476" s="54"/>
      <c r="HCJ476" s="54"/>
      <c r="HCK476" s="54"/>
      <c r="HCL476" s="54"/>
      <c r="HCM476" s="54"/>
      <c r="HCN476" s="54"/>
      <c r="HCO476" s="54"/>
      <c r="HCP476" s="54"/>
      <c r="HCQ476" s="54"/>
      <c r="HCR476" s="54"/>
      <c r="HCS476" s="54"/>
      <c r="HCT476" s="54"/>
      <c r="HCU476" s="54"/>
      <c r="HCV476" s="54"/>
      <c r="HCW476" s="54"/>
      <c r="HCX476" s="54"/>
      <c r="HCY476" s="54"/>
      <c r="HCZ476" s="54"/>
      <c r="HDA476" s="54"/>
      <c r="HDB476" s="54"/>
      <c r="HDC476" s="54"/>
      <c r="HDD476" s="54"/>
      <c r="HDE476" s="54"/>
      <c r="HDF476" s="54"/>
      <c r="HDG476" s="54"/>
      <c r="HDH476" s="54"/>
      <c r="HDI476" s="54"/>
      <c r="HDJ476" s="54"/>
      <c r="HDK476" s="54"/>
      <c r="HDL476" s="54"/>
      <c r="HDM476" s="54"/>
      <c r="HDN476" s="54"/>
      <c r="HDO476" s="54"/>
      <c r="HDP476" s="54"/>
      <c r="HDQ476" s="54"/>
      <c r="HDR476" s="54"/>
      <c r="HDS476" s="54"/>
      <c r="HDT476" s="54"/>
      <c r="HDU476" s="54"/>
      <c r="HDV476" s="54"/>
      <c r="HDW476" s="54"/>
      <c r="HDX476" s="54"/>
      <c r="HDY476" s="54"/>
      <c r="HDZ476" s="54"/>
      <c r="HEA476" s="54"/>
      <c r="HEB476" s="54"/>
      <c r="HEC476" s="54"/>
      <c r="HED476" s="54"/>
      <c r="HEE476" s="54"/>
      <c r="HEF476" s="54"/>
      <c r="HEG476" s="54"/>
      <c r="HEH476" s="54"/>
      <c r="HEI476" s="54"/>
      <c r="HEJ476" s="54"/>
      <c r="HEK476" s="54"/>
      <c r="HEL476" s="54"/>
      <c r="HEM476" s="54"/>
      <c r="HEN476" s="54"/>
      <c r="HEO476" s="54"/>
      <c r="HEP476" s="54"/>
      <c r="HEQ476" s="54"/>
      <c r="HER476" s="54"/>
      <c r="HES476" s="54"/>
      <c r="HET476" s="54"/>
      <c r="HEU476" s="54"/>
      <c r="HEV476" s="54"/>
      <c r="HEW476" s="54"/>
      <c r="HEX476" s="54"/>
      <c r="HEY476" s="54"/>
      <c r="HEZ476" s="54"/>
      <c r="HFA476" s="54"/>
      <c r="HFB476" s="54"/>
      <c r="HFC476" s="54"/>
      <c r="HFD476" s="54"/>
      <c r="HFE476" s="54"/>
      <c r="HFF476" s="54"/>
      <c r="HFG476" s="54"/>
      <c r="HFH476" s="54"/>
      <c r="HFI476" s="54"/>
      <c r="HFJ476" s="54"/>
      <c r="HFK476" s="54"/>
      <c r="HFL476" s="54"/>
      <c r="HFM476" s="54"/>
      <c r="HFN476" s="54"/>
      <c r="HFO476" s="54"/>
      <c r="HFP476" s="54"/>
      <c r="HFQ476" s="54"/>
      <c r="HFR476" s="54"/>
      <c r="HFS476" s="54"/>
      <c r="HFT476" s="54"/>
      <c r="HFU476" s="54"/>
      <c r="HFV476" s="54"/>
      <c r="HFW476" s="54"/>
      <c r="HFX476" s="54"/>
      <c r="HFY476" s="54"/>
      <c r="HFZ476" s="54"/>
      <c r="HGA476" s="54"/>
      <c r="HGB476" s="54"/>
      <c r="HGC476" s="54"/>
      <c r="HGD476" s="54"/>
      <c r="HGE476" s="54"/>
      <c r="HGF476" s="54"/>
      <c r="HGG476" s="54"/>
      <c r="HGH476" s="54"/>
      <c r="HGI476" s="54"/>
      <c r="HGJ476" s="54"/>
      <c r="HGK476" s="54"/>
      <c r="HGL476" s="54"/>
      <c r="HGM476" s="54"/>
      <c r="HGN476" s="54"/>
      <c r="HGO476" s="54"/>
      <c r="HGP476" s="54"/>
      <c r="HGQ476" s="54"/>
      <c r="HGR476" s="54"/>
      <c r="HGS476" s="54"/>
      <c r="HGT476" s="54"/>
      <c r="HGU476" s="54"/>
      <c r="HGV476" s="54"/>
      <c r="HGW476" s="54"/>
      <c r="HGX476" s="54"/>
      <c r="HGY476" s="54"/>
      <c r="HGZ476" s="54"/>
      <c r="HHA476" s="54"/>
      <c r="HHB476" s="54"/>
      <c r="HHC476" s="54"/>
      <c r="HHD476" s="54"/>
      <c r="HHE476" s="54"/>
      <c r="HHF476" s="54"/>
      <c r="HHG476" s="54"/>
      <c r="HHH476" s="54"/>
      <c r="HHI476" s="54"/>
      <c r="HHJ476" s="54"/>
      <c r="HHK476" s="54"/>
      <c r="HHL476" s="54"/>
      <c r="HHM476" s="54"/>
      <c r="HHN476" s="54"/>
      <c r="HHO476" s="54"/>
      <c r="HHP476" s="54"/>
      <c r="HHQ476" s="54"/>
      <c r="HHR476" s="54"/>
      <c r="HHS476" s="54"/>
      <c r="HHT476" s="54"/>
      <c r="HHU476" s="54"/>
      <c r="HHV476" s="54"/>
      <c r="HHW476" s="54"/>
      <c r="HHX476" s="54"/>
      <c r="HHY476" s="54"/>
      <c r="HHZ476" s="54"/>
      <c r="HIA476" s="54"/>
      <c r="HIB476" s="54"/>
      <c r="HIC476" s="54"/>
      <c r="HID476" s="54"/>
      <c r="HIE476" s="54"/>
      <c r="HIF476" s="54"/>
      <c r="HIG476" s="54"/>
      <c r="HIH476" s="54"/>
      <c r="HII476" s="54"/>
      <c r="HIJ476" s="54"/>
      <c r="HIK476" s="54"/>
      <c r="HIL476" s="54"/>
      <c r="HIM476" s="54"/>
      <c r="HIN476" s="54"/>
      <c r="HIO476" s="54"/>
      <c r="HIP476" s="54"/>
      <c r="HIQ476" s="54"/>
      <c r="HIR476" s="54"/>
      <c r="HIS476" s="54"/>
      <c r="HIT476" s="54"/>
      <c r="HIU476" s="54"/>
      <c r="HIV476" s="54"/>
      <c r="HIW476" s="54"/>
      <c r="HIX476" s="54"/>
      <c r="HIY476" s="54"/>
      <c r="HIZ476" s="54"/>
      <c r="HJA476" s="54"/>
      <c r="HJB476" s="54"/>
      <c r="HJC476" s="54"/>
      <c r="HJD476" s="54"/>
      <c r="HJE476" s="54"/>
      <c r="HJF476" s="54"/>
      <c r="HJG476" s="54"/>
      <c r="HJH476" s="54"/>
      <c r="HJI476" s="54"/>
      <c r="HJJ476" s="54"/>
      <c r="HJK476" s="54"/>
      <c r="HJL476" s="54"/>
      <c r="HJM476" s="54"/>
      <c r="HJN476" s="54"/>
      <c r="HJO476" s="54"/>
      <c r="HJP476" s="54"/>
      <c r="HJQ476" s="54"/>
      <c r="HJR476" s="54"/>
      <c r="HJS476" s="54"/>
      <c r="HJT476" s="54"/>
      <c r="HJU476" s="54"/>
      <c r="HJV476" s="54"/>
      <c r="HJW476" s="54"/>
      <c r="HJX476" s="54"/>
      <c r="HJY476" s="54"/>
      <c r="HJZ476" s="54"/>
      <c r="HKA476" s="54"/>
      <c r="HKB476" s="54"/>
      <c r="HKC476" s="54"/>
      <c r="HKD476" s="54"/>
      <c r="HKE476" s="54"/>
      <c r="HKF476" s="54"/>
      <c r="HKG476" s="54"/>
      <c r="HKH476" s="54"/>
      <c r="HKI476" s="54"/>
      <c r="HKJ476" s="54"/>
      <c r="HKK476" s="54"/>
      <c r="HKL476" s="54"/>
      <c r="HKM476" s="54"/>
      <c r="HKN476" s="54"/>
      <c r="HKO476" s="54"/>
      <c r="HKP476" s="54"/>
      <c r="HKQ476" s="54"/>
      <c r="HKR476" s="54"/>
      <c r="HKS476" s="54"/>
      <c r="HKT476" s="54"/>
      <c r="HKU476" s="54"/>
      <c r="HKV476" s="54"/>
      <c r="HKW476" s="54"/>
      <c r="HKX476" s="54"/>
      <c r="HKY476" s="54"/>
      <c r="HKZ476" s="54"/>
      <c r="HLA476" s="54"/>
      <c r="HLB476" s="54"/>
      <c r="HLC476" s="54"/>
      <c r="HLD476" s="54"/>
      <c r="HLE476" s="54"/>
      <c r="HLF476" s="54"/>
      <c r="HLG476" s="54"/>
      <c r="HLH476" s="54"/>
      <c r="HLI476" s="54"/>
      <c r="HLJ476" s="54"/>
      <c r="HLK476" s="54"/>
      <c r="HLL476" s="54"/>
      <c r="HLM476" s="54"/>
      <c r="HLN476" s="54"/>
      <c r="HLO476" s="54"/>
      <c r="HLP476" s="54"/>
      <c r="HLQ476" s="54"/>
      <c r="HLR476" s="54"/>
      <c r="HLS476" s="54"/>
      <c r="HLT476" s="54"/>
      <c r="HLU476" s="54"/>
      <c r="HLV476" s="54"/>
      <c r="HLW476" s="54"/>
      <c r="HLX476" s="54"/>
      <c r="HLY476" s="54"/>
      <c r="HLZ476" s="54"/>
      <c r="HMA476" s="54"/>
      <c r="HMB476" s="54"/>
      <c r="HMC476" s="54"/>
      <c r="HMD476" s="54"/>
      <c r="HME476" s="54"/>
      <c r="HMF476" s="54"/>
      <c r="HMG476" s="54"/>
      <c r="HMH476" s="54"/>
      <c r="HMI476" s="54"/>
      <c r="HMJ476" s="54"/>
      <c r="HMK476" s="54"/>
      <c r="HML476" s="54"/>
      <c r="HMM476" s="54"/>
      <c r="HMN476" s="54"/>
      <c r="HMO476" s="54"/>
      <c r="HMP476" s="54"/>
      <c r="HMQ476" s="54"/>
      <c r="HMR476" s="54"/>
      <c r="HMS476" s="54"/>
      <c r="HMT476" s="54"/>
      <c r="HMU476" s="54"/>
      <c r="HMV476" s="54"/>
      <c r="HMW476" s="54"/>
      <c r="HMX476" s="54"/>
      <c r="HMY476" s="54"/>
      <c r="HMZ476" s="54"/>
      <c r="HNA476" s="54"/>
      <c r="HNB476" s="54"/>
      <c r="HNC476" s="54"/>
      <c r="HND476" s="54"/>
      <c r="HNE476" s="54"/>
      <c r="HNF476" s="54"/>
      <c r="HNG476" s="54"/>
      <c r="HNH476" s="54"/>
      <c r="HNI476" s="54"/>
      <c r="HNJ476" s="54"/>
      <c r="HNK476" s="54"/>
      <c r="HNL476" s="54"/>
      <c r="HNM476" s="54"/>
      <c r="HNN476" s="54"/>
      <c r="HNO476" s="54"/>
      <c r="HNP476" s="54"/>
      <c r="HNQ476" s="54"/>
      <c r="HNR476" s="54"/>
      <c r="HNS476" s="54"/>
      <c r="HNT476" s="54"/>
      <c r="HNU476" s="54"/>
      <c r="HNV476" s="54"/>
      <c r="HNW476" s="54"/>
      <c r="HNX476" s="54"/>
      <c r="HNY476" s="54"/>
      <c r="HNZ476" s="54"/>
      <c r="HOA476" s="54"/>
      <c r="HOB476" s="54"/>
      <c r="HOC476" s="54"/>
      <c r="HOD476" s="54"/>
      <c r="HOE476" s="54"/>
      <c r="HOF476" s="54"/>
      <c r="HOG476" s="54"/>
      <c r="HOH476" s="54"/>
      <c r="HOI476" s="54"/>
      <c r="HOJ476" s="54"/>
      <c r="HOK476" s="54"/>
      <c r="HOL476" s="54"/>
      <c r="HOM476" s="54"/>
      <c r="HON476" s="54"/>
      <c r="HOO476" s="54"/>
      <c r="HOP476" s="54"/>
      <c r="HOQ476" s="54"/>
      <c r="HOR476" s="54"/>
      <c r="HOS476" s="54"/>
      <c r="HOT476" s="54"/>
      <c r="HOU476" s="54"/>
      <c r="HOV476" s="54"/>
      <c r="HOW476" s="54"/>
      <c r="HOX476" s="54"/>
      <c r="HOY476" s="54"/>
      <c r="HOZ476" s="54"/>
      <c r="HPA476" s="54"/>
      <c r="HPB476" s="54"/>
      <c r="HPC476" s="54"/>
      <c r="HPD476" s="54"/>
      <c r="HPE476" s="54"/>
      <c r="HPF476" s="54"/>
      <c r="HPG476" s="54"/>
      <c r="HPH476" s="54"/>
      <c r="HPI476" s="54"/>
      <c r="HPJ476" s="54"/>
      <c r="HPK476" s="54"/>
      <c r="HPL476" s="54"/>
      <c r="HPM476" s="54"/>
      <c r="HPN476" s="54"/>
      <c r="HPO476" s="54"/>
      <c r="HPP476" s="54"/>
      <c r="HPQ476" s="54"/>
      <c r="HPR476" s="54"/>
      <c r="HPS476" s="54"/>
      <c r="HPT476" s="54"/>
      <c r="HPU476" s="54"/>
      <c r="HPV476" s="54"/>
      <c r="HPW476" s="54"/>
      <c r="HPX476" s="54"/>
      <c r="HPY476" s="54"/>
      <c r="HPZ476" s="54"/>
      <c r="HQA476" s="54"/>
      <c r="HQB476" s="54"/>
      <c r="HQC476" s="54"/>
      <c r="HQD476" s="54"/>
      <c r="HQE476" s="54"/>
      <c r="HQF476" s="54"/>
      <c r="HQG476" s="54"/>
      <c r="HQH476" s="54"/>
      <c r="HQI476" s="54"/>
      <c r="HQJ476" s="54"/>
      <c r="HQK476" s="54"/>
      <c r="HQL476" s="54"/>
      <c r="HQM476" s="54"/>
      <c r="HQN476" s="54"/>
      <c r="HQO476" s="54"/>
      <c r="HQP476" s="54"/>
      <c r="HQQ476" s="54"/>
      <c r="HQR476" s="54"/>
      <c r="HQS476" s="54"/>
      <c r="HQT476" s="54"/>
      <c r="HQU476" s="54"/>
      <c r="HQV476" s="54"/>
      <c r="HQW476" s="54"/>
      <c r="HQX476" s="54"/>
      <c r="HQY476" s="54"/>
      <c r="HQZ476" s="54"/>
      <c r="HRA476" s="54"/>
      <c r="HRB476" s="54"/>
      <c r="HRC476" s="54"/>
      <c r="HRD476" s="54"/>
      <c r="HRE476" s="54"/>
      <c r="HRF476" s="54"/>
      <c r="HRG476" s="54"/>
      <c r="HRH476" s="54"/>
      <c r="HRI476" s="54"/>
      <c r="HRJ476" s="54"/>
      <c r="HRK476" s="54"/>
      <c r="HRL476" s="54"/>
      <c r="HRM476" s="54"/>
      <c r="HRN476" s="54"/>
      <c r="HRO476" s="54"/>
      <c r="HRP476" s="54"/>
      <c r="HRQ476" s="54"/>
      <c r="HRR476" s="54"/>
      <c r="HRS476" s="54"/>
      <c r="HRT476" s="54"/>
      <c r="HRU476" s="54"/>
      <c r="HRV476" s="54"/>
      <c r="HRW476" s="54"/>
      <c r="HRX476" s="54"/>
      <c r="HRY476" s="54"/>
      <c r="HRZ476" s="54"/>
      <c r="HSA476" s="54"/>
      <c r="HSB476" s="54"/>
      <c r="HSC476" s="54"/>
      <c r="HSD476" s="54"/>
      <c r="HSE476" s="54"/>
      <c r="HSF476" s="54"/>
      <c r="HSG476" s="54"/>
      <c r="HSH476" s="54"/>
      <c r="HSI476" s="54"/>
      <c r="HSJ476" s="54"/>
      <c r="HSK476" s="54"/>
      <c r="HSL476" s="54"/>
      <c r="HSM476" s="54"/>
      <c r="HSN476" s="54"/>
      <c r="HSO476" s="54"/>
      <c r="HSP476" s="54"/>
      <c r="HSQ476" s="54"/>
      <c r="HSR476" s="54"/>
      <c r="HSS476" s="54"/>
      <c r="HST476" s="54"/>
      <c r="HSU476" s="54"/>
      <c r="HSV476" s="54"/>
      <c r="HSW476" s="54"/>
      <c r="HSX476" s="54"/>
      <c r="HSY476" s="54"/>
      <c r="HSZ476" s="54"/>
      <c r="HTA476" s="54"/>
      <c r="HTB476" s="54"/>
      <c r="HTC476" s="54"/>
      <c r="HTD476" s="54"/>
      <c r="HTE476" s="54"/>
      <c r="HTF476" s="54"/>
      <c r="HTG476" s="54"/>
      <c r="HTH476" s="54"/>
      <c r="HTI476" s="54"/>
      <c r="HTJ476" s="54"/>
      <c r="HTK476" s="54"/>
      <c r="HTL476" s="54"/>
      <c r="HTM476" s="54"/>
      <c r="HTN476" s="54"/>
      <c r="HTO476" s="54"/>
      <c r="HTP476" s="54"/>
      <c r="HTQ476" s="54"/>
      <c r="HTR476" s="54"/>
      <c r="HTS476" s="54"/>
      <c r="HTT476" s="54"/>
      <c r="HTU476" s="54"/>
      <c r="HTV476" s="54"/>
      <c r="HTW476" s="54"/>
      <c r="HTX476" s="54"/>
      <c r="HTY476" s="54"/>
      <c r="HTZ476" s="54"/>
      <c r="HUA476" s="54"/>
      <c r="HUB476" s="54"/>
      <c r="HUC476" s="54"/>
      <c r="HUD476" s="54"/>
      <c r="HUE476" s="54"/>
      <c r="HUF476" s="54"/>
      <c r="HUG476" s="54"/>
      <c r="HUH476" s="54"/>
      <c r="HUI476" s="54"/>
      <c r="HUJ476" s="54"/>
      <c r="HUK476" s="54"/>
      <c r="HUL476" s="54"/>
      <c r="HUM476" s="54"/>
      <c r="HUN476" s="54"/>
      <c r="HUO476" s="54"/>
      <c r="HUP476" s="54"/>
      <c r="HUQ476" s="54"/>
      <c r="HUR476" s="54"/>
      <c r="HUS476" s="54"/>
      <c r="HUT476" s="54"/>
      <c r="HUU476" s="54"/>
      <c r="HUV476" s="54"/>
      <c r="HUW476" s="54"/>
      <c r="HUX476" s="54"/>
      <c r="HUY476" s="54"/>
      <c r="HUZ476" s="54"/>
      <c r="HVA476" s="54"/>
      <c r="HVB476" s="54"/>
      <c r="HVC476" s="54"/>
      <c r="HVD476" s="54"/>
      <c r="HVE476" s="54"/>
      <c r="HVF476" s="54"/>
      <c r="HVG476" s="54"/>
      <c r="HVH476" s="54"/>
      <c r="HVI476" s="54"/>
      <c r="HVJ476" s="54"/>
      <c r="HVK476" s="54"/>
      <c r="HVL476" s="54"/>
      <c r="HVM476" s="54"/>
      <c r="HVN476" s="54"/>
      <c r="HVO476" s="54"/>
      <c r="HVP476" s="54"/>
      <c r="HVQ476" s="54"/>
      <c r="HVR476" s="54"/>
      <c r="HVS476" s="54"/>
      <c r="HVT476" s="54"/>
      <c r="HVU476" s="54"/>
      <c r="HVV476" s="54"/>
      <c r="HVW476" s="54"/>
      <c r="HVX476" s="54"/>
      <c r="HVY476" s="54"/>
      <c r="HVZ476" s="54"/>
      <c r="HWA476" s="54"/>
      <c r="HWB476" s="54"/>
      <c r="HWC476" s="54"/>
      <c r="HWD476" s="54"/>
      <c r="HWE476" s="54"/>
      <c r="HWF476" s="54"/>
      <c r="HWG476" s="54"/>
      <c r="HWH476" s="54"/>
      <c r="HWI476" s="54"/>
      <c r="HWJ476" s="54"/>
      <c r="HWK476" s="54"/>
      <c r="HWL476" s="54"/>
      <c r="HWM476" s="54"/>
      <c r="HWN476" s="54"/>
      <c r="HWO476" s="54"/>
      <c r="HWP476" s="54"/>
      <c r="HWQ476" s="54"/>
      <c r="HWR476" s="54"/>
      <c r="HWS476" s="54"/>
      <c r="HWT476" s="54"/>
      <c r="HWU476" s="54"/>
      <c r="HWV476" s="54"/>
      <c r="HWW476" s="54"/>
      <c r="HWX476" s="54"/>
      <c r="HWY476" s="54"/>
      <c r="HWZ476" s="54"/>
      <c r="HXA476" s="54"/>
      <c r="HXB476" s="54"/>
      <c r="HXC476" s="54"/>
      <c r="HXD476" s="54"/>
      <c r="HXE476" s="54"/>
      <c r="HXF476" s="54"/>
      <c r="HXG476" s="54"/>
      <c r="HXH476" s="54"/>
      <c r="HXI476" s="54"/>
      <c r="HXJ476" s="54"/>
      <c r="HXK476" s="54"/>
      <c r="HXL476" s="54"/>
      <c r="HXM476" s="54"/>
      <c r="HXN476" s="54"/>
      <c r="HXO476" s="54"/>
      <c r="HXP476" s="54"/>
      <c r="HXQ476" s="54"/>
      <c r="HXR476" s="54"/>
      <c r="HXS476" s="54"/>
      <c r="HXT476" s="54"/>
      <c r="HXU476" s="54"/>
      <c r="HXV476" s="54"/>
      <c r="HXW476" s="54"/>
      <c r="HXX476" s="54"/>
      <c r="HXY476" s="54"/>
      <c r="HXZ476" s="54"/>
      <c r="HYA476" s="54"/>
      <c r="HYB476" s="54"/>
      <c r="HYC476" s="54"/>
      <c r="HYD476" s="54"/>
      <c r="HYE476" s="54"/>
      <c r="HYF476" s="54"/>
      <c r="HYG476" s="54"/>
      <c r="HYH476" s="54"/>
      <c r="HYI476" s="54"/>
      <c r="HYJ476" s="54"/>
      <c r="HYK476" s="54"/>
      <c r="HYL476" s="54"/>
      <c r="HYM476" s="54"/>
      <c r="HYN476" s="54"/>
      <c r="HYO476" s="54"/>
      <c r="HYP476" s="54"/>
      <c r="HYQ476" s="54"/>
      <c r="HYR476" s="54"/>
      <c r="HYS476" s="54"/>
      <c r="HYT476" s="54"/>
      <c r="HYU476" s="54"/>
      <c r="HYV476" s="54"/>
      <c r="HYW476" s="54"/>
      <c r="HYX476" s="54"/>
      <c r="HYY476" s="54"/>
      <c r="HYZ476" s="54"/>
      <c r="HZA476" s="54"/>
      <c r="HZB476" s="54"/>
      <c r="HZC476" s="54"/>
      <c r="HZD476" s="54"/>
      <c r="HZE476" s="54"/>
      <c r="HZF476" s="54"/>
      <c r="HZG476" s="54"/>
      <c r="HZH476" s="54"/>
      <c r="HZI476" s="54"/>
      <c r="HZJ476" s="54"/>
      <c r="HZK476" s="54"/>
      <c r="HZL476" s="54"/>
      <c r="HZM476" s="54"/>
      <c r="HZN476" s="54"/>
      <c r="HZO476" s="54"/>
      <c r="HZP476" s="54"/>
      <c r="HZQ476" s="54"/>
      <c r="HZR476" s="54"/>
      <c r="HZS476" s="54"/>
      <c r="HZT476" s="54"/>
      <c r="HZU476" s="54"/>
      <c r="HZV476" s="54"/>
      <c r="HZW476" s="54"/>
      <c r="HZX476" s="54"/>
      <c r="HZY476" s="54"/>
      <c r="HZZ476" s="54"/>
      <c r="IAA476" s="54"/>
      <c r="IAB476" s="54"/>
      <c r="IAC476" s="54"/>
      <c r="IAD476" s="54"/>
      <c r="IAE476" s="54"/>
      <c r="IAF476" s="54"/>
      <c r="IAG476" s="54"/>
      <c r="IAH476" s="54"/>
      <c r="IAI476" s="54"/>
      <c r="IAJ476" s="54"/>
      <c r="IAK476" s="54"/>
      <c r="IAL476" s="54"/>
      <c r="IAM476" s="54"/>
      <c r="IAN476" s="54"/>
      <c r="IAO476" s="54"/>
      <c r="IAP476" s="54"/>
      <c r="IAQ476" s="54"/>
      <c r="IAR476" s="54"/>
      <c r="IAS476" s="54"/>
      <c r="IAT476" s="54"/>
      <c r="IAU476" s="54"/>
      <c r="IAV476" s="54"/>
      <c r="IAW476" s="54"/>
      <c r="IAX476" s="54"/>
      <c r="IAY476" s="54"/>
      <c r="IAZ476" s="54"/>
      <c r="IBA476" s="54"/>
      <c r="IBB476" s="54"/>
      <c r="IBC476" s="54"/>
      <c r="IBD476" s="54"/>
      <c r="IBE476" s="54"/>
      <c r="IBF476" s="54"/>
      <c r="IBG476" s="54"/>
      <c r="IBH476" s="54"/>
      <c r="IBI476" s="54"/>
      <c r="IBJ476" s="54"/>
      <c r="IBK476" s="54"/>
      <c r="IBL476" s="54"/>
      <c r="IBM476" s="54"/>
      <c r="IBN476" s="54"/>
      <c r="IBO476" s="54"/>
      <c r="IBP476" s="54"/>
      <c r="IBQ476" s="54"/>
      <c r="IBR476" s="54"/>
      <c r="IBS476" s="54"/>
      <c r="IBT476" s="54"/>
      <c r="IBU476" s="54"/>
      <c r="IBV476" s="54"/>
      <c r="IBW476" s="54"/>
      <c r="IBX476" s="54"/>
      <c r="IBY476" s="54"/>
      <c r="IBZ476" s="54"/>
      <c r="ICA476" s="54"/>
      <c r="ICB476" s="54"/>
      <c r="ICC476" s="54"/>
      <c r="ICD476" s="54"/>
      <c r="ICE476" s="54"/>
      <c r="ICF476" s="54"/>
      <c r="ICG476" s="54"/>
      <c r="ICH476" s="54"/>
      <c r="ICI476" s="54"/>
      <c r="ICJ476" s="54"/>
      <c r="ICK476" s="54"/>
      <c r="ICL476" s="54"/>
      <c r="ICM476" s="54"/>
      <c r="ICN476" s="54"/>
      <c r="ICO476" s="54"/>
      <c r="ICP476" s="54"/>
      <c r="ICQ476" s="54"/>
      <c r="ICR476" s="54"/>
      <c r="ICS476" s="54"/>
      <c r="ICT476" s="54"/>
      <c r="ICU476" s="54"/>
      <c r="ICV476" s="54"/>
      <c r="ICW476" s="54"/>
      <c r="ICX476" s="54"/>
      <c r="ICY476" s="54"/>
      <c r="ICZ476" s="54"/>
      <c r="IDA476" s="54"/>
      <c r="IDB476" s="54"/>
      <c r="IDC476" s="54"/>
      <c r="IDD476" s="54"/>
      <c r="IDE476" s="54"/>
      <c r="IDF476" s="54"/>
      <c r="IDG476" s="54"/>
      <c r="IDH476" s="54"/>
      <c r="IDI476" s="54"/>
      <c r="IDJ476" s="54"/>
      <c r="IDK476" s="54"/>
      <c r="IDL476" s="54"/>
      <c r="IDM476" s="54"/>
      <c r="IDN476" s="54"/>
      <c r="IDO476" s="54"/>
      <c r="IDP476" s="54"/>
      <c r="IDQ476" s="54"/>
      <c r="IDR476" s="54"/>
      <c r="IDS476" s="54"/>
      <c r="IDT476" s="54"/>
      <c r="IDU476" s="54"/>
      <c r="IDV476" s="54"/>
      <c r="IDW476" s="54"/>
      <c r="IDX476" s="54"/>
      <c r="IDY476" s="54"/>
      <c r="IDZ476" s="54"/>
      <c r="IEA476" s="54"/>
      <c r="IEB476" s="54"/>
      <c r="IEC476" s="54"/>
      <c r="IED476" s="54"/>
      <c r="IEE476" s="54"/>
      <c r="IEF476" s="54"/>
      <c r="IEG476" s="54"/>
      <c r="IEH476" s="54"/>
      <c r="IEI476" s="54"/>
      <c r="IEJ476" s="54"/>
      <c r="IEK476" s="54"/>
      <c r="IEL476" s="54"/>
      <c r="IEM476" s="54"/>
      <c r="IEN476" s="54"/>
      <c r="IEO476" s="54"/>
      <c r="IEP476" s="54"/>
      <c r="IEQ476" s="54"/>
      <c r="IER476" s="54"/>
      <c r="IES476" s="54"/>
      <c r="IET476" s="54"/>
      <c r="IEU476" s="54"/>
      <c r="IEV476" s="54"/>
      <c r="IEW476" s="54"/>
      <c r="IEX476" s="54"/>
      <c r="IEY476" s="54"/>
      <c r="IEZ476" s="54"/>
      <c r="IFA476" s="54"/>
      <c r="IFB476" s="54"/>
      <c r="IFC476" s="54"/>
      <c r="IFD476" s="54"/>
      <c r="IFE476" s="54"/>
      <c r="IFF476" s="54"/>
      <c r="IFG476" s="54"/>
      <c r="IFH476" s="54"/>
      <c r="IFI476" s="54"/>
      <c r="IFJ476" s="54"/>
      <c r="IFK476" s="54"/>
      <c r="IFL476" s="54"/>
      <c r="IFM476" s="54"/>
      <c r="IFN476" s="54"/>
      <c r="IFO476" s="54"/>
      <c r="IFP476" s="54"/>
      <c r="IFQ476" s="54"/>
      <c r="IFR476" s="54"/>
      <c r="IFS476" s="54"/>
      <c r="IFT476" s="54"/>
      <c r="IFU476" s="54"/>
      <c r="IFV476" s="54"/>
      <c r="IFW476" s="54"/>
      <c r="IFX476" s="54"/>
      <c r="IFY476" s="54"/>
      <c r="IFZ476" s="54"/>
      <c r="IGA476" s="54"/>
      <c r="IGB476" s="54"/>
      <c r="IGC476" s="54"/>
      <c r="IGD476" s="54"/>
      <c r="IGE476" s="54"/>
      <c r="IGF476" s="54"/>
      <c r="IGG476" s="54"/>
      <c r="IGH476" s="54"/>
      <c r="IGI476" s="54"/>
      <c r="IGJ476" s="54"/>
      <c r="IGK476" s="54"/>
      <c r="IGL476" s="54"/>
      <c r="IGM476" s="54"/>
      <c r="IGN476" s="54"/>
      <c r="IGO476" s="54"/>
      <c r="IGP476" s="54"/>
      <c r="IGQ476" s="54"/>
      <c r="IGR476" s="54"/>
      <c r="IGS476" s="54"/>
      <c r="IGT476" s="54"/>
      <c r="IGU476" s="54"/>
      <c r="IGV476" s="54"/>
      <c r="IGW476" s="54"/>
      <c r="IGX476" s="54"/>
      <c r="IGY476" s="54"/>
      <c r="IGZ476" s="54"/>
      <c r="IHA476" s="54"/>
      <c r="IHB476" s="54"/>
      <c r="IHC476" s="54"/>
      <c r="IHD476" s="54"/>
      <c r="IHE476" s="54"/>
      <c r="IHF476" s="54"/>
      <c r="IHG476" s="54"/>
      <c r="IHH476" s="54"/>
      <c r="IHI476" s="54"/>
      <c r="IHJ476" s="54"/>
      <c r="IHK476" s="54"/>
      <c r="IHL476" s="54"/>
      <c r="IHM476" s="54"/>
      <c r="IHN476" s="54"/>
      <c r="IHO476" s="54"/>
      <c r="IHP476" s="54"/>
      <c r="IHQ476" s="54"/>
      <c r="IHR476" s="54"/>
      <c r="IHS476" s="54"/>
      <c r="IHT476" s="54"/>
      <c r="IHU476" s="54"/>
      <c r="IHV476" s="54"/>
      <c r="IHW476" s="54"/>
      <c r="IHX476" s="54"/>
      <c r="IHY476" s="54"/>
      <c r="IHZ476" s="54"/>
      <c r="IIA476" s="54"/>
      <c r="IIB476" s="54"/>
      <c r="IIC476" s="54"/>
      <c r="IID476" s="54"/>
      <c r="IIE476" s="54"/>
      <c r="IIF476" s="54"/>
      <c r="IIG476" s="54"/>
      <c r="IIH476" s="54"/>
      <c r="III476" s="54"/>
      <c r="IIJ476" s="54"/>
      <c r="IIK476" s="54"/>
      <c r="IIL476" s="54"/>
      <c r="IIM476" s="54"/>
      <c r="IIN476" s="54"/>
      <c r="IIO476" s="54"/>
      <c r="IIP476" s="54"/>
      <c r="IIQ476" s="54"/>
      <c r="IIR476" s="54"/>
      <c r="IIS476" s="54"/>
      <c r="IIT476" s="54"/>
      <c r="IIU476" s="54"/>
      <c r="IIV476" s="54"/>
      <c r="IIW476" s="54"/>
      <c r="IIX476" s="54"/>
      <c r="IIY476" s="54"/>
      <c r="IIZ476" s="54"/>
      <c r="IJA476" s="54"/>
      <c r="IJB476" s="54"/>
      <c r="IJC476" s="54"/>
      <c r="IJD476" s="54"/>
      <c r="IJE476" s="54"/>
      <c r="IJF476" s="54"/>
      <c r="IJG476" s="54"/>
      <c r="IJH476" s="54"/>
      <c r="IJI476" s="54"/>
      <c r="IJJ476" s="54"/>
      <c r="IJK476" s="54"/>
      <c r="IJL476" s="54"/>
      <c r="IJM476" s="54"/>
      <c r="IJN476" s="54"/>
      <c r="IJO476" s="54"/>
      <c r="IJP476" s="54"/>
      <c r="IJQ476" s="54"/>
      <c r="IJR476" s="54"/>
      <c r="IJS476" s="54"/>
      <c r="IJT476" s="54"/>
      <c r="IJU476" s="54"/>
      <c r="IJV476" s="54"/>
      <c r="IJW476" s="54"/>
      <c r="IJX476" s="54"/>
      <c r="IJY476" s="54"/>
      <c r="IJZ476" s="54"/>
      <c r="IKA476" s="54"/>
      <c r="IKB476" s="54"/>
      <c r="IKC476" s="54"/>
      <c r="IKD476" s="54"/>
      <c r="IKE476" s="54"/>
      <c r="IKF476" s="54"/>
      <c r="IKG476" s="54"/>
      <c r="IKH476" s="54"/>
      <c r="IKI476" s="54"/>
      <c r="IKJ476" s="54"/>
      <c r="IKK476" s="54"/>
      <c r="IKL476" s="54"/>
      <c r="IKM476" s="54"/>
      <c r="IKN476" s="54"/>
      <c r="IKO476" s="54"/>
      <c r="IKP476" s="54"/>
      <c r="IKQ476" s="54"/>
      <c r="IKR476" s="54"/>
      <c r="IKS476" s="54"/>
      <c r="IKT476" s="54"/>
      <c r="IKU476" s="54"/>
      <c r="IKV476" s="54"/>
      <c r="IKW476" s="54"/>
      <c r="IKX476" s="54"/>
      <c r="IKY476" s="54"/>
      <c r="IKZ476" s="54"/>
      <c r="ILA476" s="54"/>
      <c r="ILB476" s="54"/>
      <c r="ILC476" s="54"/>
      <c r="ILD476" s="54"/>
      <c r="ILE476" s="54"/>
      <c r="ILF476" s="54"/>
      <c r="ILG476" s="54"/>
      <c r="ILH476" s="54"/>
      <c r="ILI476" s="54"/>
      <c r="ILJ476" s="54"/>
      <c r="ILK476" s="54"/>
      <c r="ILL476" s="54"/>
      <c r="ILM476" s="54"/>
      <c r="ILN476" s="54"/>
      <c r="ILO476" s="54"/>
      <c r="ILP476" s="54"/>
      <c r="ILQ476" s="54"/>
      <c r="ILR476" s="54"/>
      <c r="ILS476" s="54"/>
      <c r="ILT476" s="54"/>
      <c r="ILU476" s="54"/>
      <c r="ILV476" s="54"/>
      <c r="ILW476" s="54"/>
      <c r="ILX476" s="54"/>
      <c r="ILY476" s="54"/>
      <c r="ILZ476" s="54"/>
      <c r="IMA476" s="54"/>
      <c r="IMB476" s="54"/>
      <c r="IMC476" s="54"/>
      <c r="IMD476" s="54"/>
      <c r="IME476" s="54"/>
      <c r="IMF476" s="54"/>
      <c r="IMG476" s="54"/>
      <c r="IMH476" s="54"/>
      <c r="IMI476" s="54"/>
      <c r="IMJ476" s="54"/>
      <c r="IMK476" s="54"/>
      <c r="IML476" s="54"/>
      <c r="IMM476" s="54"/>
      <c r="IMN476" s="54"/>
      <c r="IMO476" s="54"/>
      <c r="IMP476" s="54"/>
      <c r="IMQ476" s="54"/>
      <c r="IMR476" s="54"/>
      <c r="IMS476" s="54"/>
      <c r="IMT476" s="54"/>
      <c r="IMU476" s="54"/>
      <c r="IMV476" s="54"/>
      <c r="IMW476" s="54"/>
      <c r="IMX476" s="54"/>
      <c r="IMY476" s="54"/>
      <c r="IMZ476" s="54"/>
      <c r="INA476" s="54"/>
      <c r="INB476" s="54"/>
      <c r="INC476" s="54"/>
      <c r="IND476" s="54"/>
      <c r="INE476" s="54"/>
      <c r="INF476" s="54"/>
      <c r="ING476" s="54"/>
      <c r="INH476" s="54"/>
      <c r="INI476" s="54"/>
      <c r="INJ476" s="54"/>
      <c r="INK476" s="54"/>
      <c r="INL476" s="54"/>
      <c r="INM476" s="54"/>
      <c r="INN476" s="54"/>
      <c r="INO476" s="54"/>
      <c r="INP476" s="54"/>
      <c r="INQ476" s="54"/>
      <c r="INR476" s="54"/>
      <c r="INS476" s="54"/>
      <c r="INT476" s="54"/>
      <c r="INU476" s="54"/>
      <c r="INV476" s="54"/>
      <c r="INW476" s="54"/>
      <c r="INX476" s="54"/>
      <c r="INY476" s="54"/>
      <c r="INZ476" s="54"/>
      <c r="IOA476" s="54"/>
      <c r="IOB476" s="54"/>
      <c r="IOC476" s="54"/>
      <c r="IOD476" s="54"/>
      <c r="IOE476" s="54"/>
      <c r="IOF476" s="54"/>
      <c r="IOG476" s="54"/>
      <c r="IOH476" s="54"/>
      <c r="IOI476" s="54"/>
      <c r="IOJ476" s="54"/>
      <c r="IOK476" s="54"/>
      <c r="IOL476" s="54"/>
      <c r="IOM476" s="54"/>
      <c r="ION476" s="54"/>
      <c r="IOO476" s="54"/>
      <c r="IOP476" s="54"/>
      <c r="IOQ476" s="54"/>
      <c r="IOR476" s="54"/>
      <c r="IOS476" s="54"/>
      <c r="IOT476" s="54"/>
      <c r="IOU476" s="54"/>
      <c r="IOV476" s="54"/>
      <c r="IOW476" s="54"/>
      <c r="IOX476" s="54"/>
      <c r="IOY476" s="54"/>
      <c r="IOZ476" s="54"/>
      <c r="IPA476" s="54"/>
      <c r="IPB476" s="54"/>
      <c r="IPC476" s="54"/>
      <c r="IPD476" s="54"/>
      <c r="IPE476" s="54"/>
      <c r="IPF476" s="54"/>
      <c r="IPG476" s="54"/>
      <c r="IPH476" s="54"/>
      <c r="IPI476" s="54"/>
      <c r="IPJ476" s="54"/>
      <c r="IPK476" s="54"/>
      <c r="IPL476" s="54"/>
      <c r="IPM476" s="54"/>
      <c r="IPN476" s="54"/>
      <c r="IPO476" s="54"/>
      <c r="IPP476" s="54"/>
      <c r="IPQ476" s="54"/>
      <c r="IPR476" s="54"/>
      <c r="IPS476" s="54"/>
      <c r="IPT476" s="54"/>
      <c r="IPU476" s="54"/>
      <c r="IPV476" s="54"/>
      <c r="IPW476" s="54"/>
      <c r="IPX476" s="54"/>
      <c r="IPY476" s="54"/>
      <c r="IPZ476" s="54"/>
      <c r="IQA476" s="54"/>
      <c r="IQB476" s="54"/>
      <c r="IQC476" s="54"/>
      <c r="IQD476" s="54"/>
      <c r="IQE476" s="54"/>
      <c r="IQF476" s="54"/>
      <c r="IQG476" s="54"/>
      <c r="IQH476" s="54"/>
      <c r="IQI476" s="54"/>
      <c r="IQJ476" s="54"/>
      <c r="IQK476" s="54"/>
      <c r="IQL476" s="54"/>
      <c r="IQM476" s="54"/>
      <c r="IQN476" s="54"/>
      <c r="IQO476" s="54"/>
      <c r="IQP476" s="54"/>
      <c r="IQQ476" s="54"/>
      <c r="IQR476" s="54"/>
      <c r="IQS476" s="54"/>
      <c r="IQT476" s="54"/>
      <c r="IQU476" s="54"/>
      <c r="IQV476" s="54"/>
      <c r="IQW476" s="54"/>
      <c r="IQX476" s="54"/>
      <c r="IQY476" s="54"/>
      <c r="IQZ476" s="54"/>
      <c r="IRA476" s="54"/>
      <c r="IRB476" s="54"/>
      <c r="IRC476" s="54"/>
      <c r="IRD476" s="54"/>
      <c r="IRE476" s="54"/>
      <c r="IRF476" s="54"/>
      <c r="IRG476" s="54"/>
      <c r="IRH476" s="54"/>
      <c r="IRI476" s="54"/>
      <c r="IRJ476" s="54"/>
      <c r="IRK476" s="54"/>
      <c r="IRL476" s="54"/>
      <c r="IRM476" s="54"/>
      <c r="IRN476" s="54"/>
      <c r="IRO476" s="54"/>
      <c r="IRP476" s="54"/>
      <c r="IRQ476" s="54"/>
      <c r="IRR476" s="54"/>
      <c r="IRS476" s="54"/>
      <c r="IRT476" s="54"/>
      <c r="IRU476" s="54"/>
      <c r="IRV476" s="54"/>
      <c r="IRW476" s="54"/>
      <c r="IRX476" s="54"/>
      <c r="IRY476" s="54"/>
      <c r="IRZ476" s="54"/>
      <c r="ISA476" s="54"/>
      <c r="ISB476" s="54"/>
      <c r="ISC476" s="54"/>
      <c r="ISD476" s="54"/>
      <c r="ISE476" s="54"/>
      <c r="ISF476" s="54"/>
      <c r="ISG476" s="54"/>
      <c r="ISH476" s="54"/>
      <c r="ISI476" s="54"/>
      <c r="ISJ476" s="54"/>
      <c r="ISK476" s="54"/>
      <c r="ISL476" s="54"/>
      <c r="ISM476" s="54"/>
      <c r="ISN476" s="54"/>
      <c r="ISO476" s="54"/>
      <c r="ISP476" s="54"/>
      <c r="ISQ476" s="54"/>
      <c r="ISR476" s="54"/>
      <c r="ISS476" s="54"/>
      <c r="IST476" s="54"/>
      <c r="ISU476" s="54"/>
      <c r="ISV476" s="54"/>
      <c r="ISW476" s="54"/>
      <c r="ISX476" s="54"/>
      <c r="ISY476" s="54"/>
      <c r="ISZ476" s="54"/>
      <c r="ITA476" s="54"/>
      <c r="ITB476" s="54"/>
      <c r="ITC476" s="54"/>
      <c r="ITD476" s="54"/>
      <c r="ITE476" s="54"/>
      <c r="ITF476" s="54"/>
      <c r="ITG476" s="54"/>
      <c r="ITH476" s="54"/>
      <c r="ITI476" s="54"/>
      <c r="ITJ476" s="54"/>
      <c r="ITK476" s="54"/>
      <c r="ITL476" s="54"/>
      <c r="ITM476" s="54"/>
      <c r="ITN476" s="54"/>
      <c r="ITO476" s="54"/>
      <c r="ITP476" s="54"/>
      <c r="ITQ476" s="54"/>
      <c r="ITR476" s="54"/>
      <c r="ITS476" s="54"/>
      <c r="ITT476" s="54"/>
      <c r="ITU476" s="54"/>
      <c r="ITV476" s="54"/>
      <c r="ITW476" s="54"/>
      <c r="ITX476" s="54"/>
      <c r="ITY476" s="54"/>
      <c r="ITZ476" s="54"/>
      <c r="IUA476" s="54"/>
      <c r="IUB476" s="54"/>
      <c r="IUC476" s="54"/>
      <c r="IUD476" s="54"/>
      <c r="IUE476" s="54"/>
      <c r="IUF476" s="54"/>
      <c r="IUG476" s="54"/>
      <c r="IUH476" s="54"/>
      <c r="IUI476" s="54"/>
      <c r="IUJ476" s="54"/>
      <c r="IUK476" s="54"/>
      <c r="IUL476" s="54"/>
      <c r="IUM476" s="54"/>
      <c r="IUN476" s="54"/>
      <c r="IUO476" s="54"/>
      <c r="IUP476" s="54"/>
      <c r="IUQ476" s="54"/>
      <c r="IUR476" s="54"/>
      <c r="IUS476" s="54"/>
      <c r="IUT476" s="54"/>
      <c r="IUU476" s="54"/>
      <c r="IUV476" s="54"/>
      <c r="IUW476" s="54"/>
      <c r="IUX476" s="54"/>
      <c r="IUY476" s="54"/>
      <c r="IUZ476" s="54"/>
      <c r="IVA476" s="54"/>
      <c r="IVB476" s="54"/>
      <c r="IVC476" s="54"/>
      <c r="IVD476" s="54"/>
      <c r="IVE476" s="54"/>
      <c r="IVF476" s="54"/>
      <c r="IVG476" s="54"/>
      <c r="IVH476" s="54"/>
      <c r="IVI476" s="54"/>
      <c r="IVJ476" s="54"/>
      <c r="IVK476" s="54"/>
      <c r="IVL476" s="54"/>
      <c r="IVM476" s="54"/>
      <c r="IVN476" s="54"/>
      <c r="IVO476" s="54"/>
      <c r="IVP476" s="54"/>
      <c r="IVQ476" s="54"/>
      <c r="IVR476" s="54"/>
      <c r="IVS476" s="54"/>
      <c r="IVT476" s="54"/>
      <c r="IVU476" s="54"/>
      <c r="IVV476" s="54"/>
      <c r="IVW476" s="54"/>
      <c r="IVX476" s="54"/>
      <c r="IVY476" s="54"/>
      <c r="IVZ476" s="54"/>
      <c r="IWA476" s="54"/>
      <c r="IWB476" s="54"/>
      <c r="IWC476" s="54"/>
      <c r="IWD476" s="54"/>
      <c r="IWE476" s="54"/>
      <c r="IWF476" s="54"/>
      <c r="IWG476" s="54"/>
      <c r="IWH476" s="54"/>
      <c r="IWI476" s="54"/>
      <c r="IWJ476" s="54"/>
      <c r="IWK476" s="54"/>
      <c r="IWL476" s="54"/>
      <c r="IWM476" s="54"/>
      <c r="IWN476" s="54"/>
      <c r="IWO476" s="54"/>
      <c r="IWP476" s="54"/>
      <c r="IWQ476" s="54"/>
      <c r="IWR476" s="54"/>
      <c r="IWS476" s="54"/>
      <c r="IWT476" s="54"/>
      <c r="IWU476" s="54"/>
      <c r="IWV476" s="54"/>
      <c r="IWW476" s="54"/>
      <c r="IWX476" s="54"/>
      <c r="IWY476" s="54"/>
      <c r="IWZ476" s="54"/>
      <c r="IXA476" s="54"/>
      <c r="IXB476" s="54"/>
      <c r="IXC476" s="54"/>
      <c r="IXD476" s="54"/>
      <c r="IXE476" s="54"/>
      <c r="IXF476" s="54"/>
      <c r="IXG476" s="54"/>
      <c r="IXH476" s="54"/>
      <c r="IXI476" s="54"/>
      <c r="IXJ476" s="54"/>
      <c r="IXK476" s="54"/>
      <c r="IXL476" s="54"/>
      <c r="IXM476" s="54"/>
      <c r="IXN476" s="54"/>
      <c r="IXO476" s="54"/>
      <c r="IXP476" s="54"/>
      <c r="IXQ476" s="54"/>
      <c r="IXR476" s="54"/>
      <c r="IXS476" s="54"/>
      <c r="IXT476" s="54"/>
      <c r="IXU476" s="54"/>
      <c r="IXV476" s="54"/>
      <c r="IXW476" s="54"/>
      <c r="IXX476" s="54"/>
      <c r="IXY476" s="54"/>
      <c r="IXZ476" s="54"/>
      <c r="IYA476" s="54"/>
      <c r="IYB476" s="54"/>
      <c r="IYC476" s="54"/>
      <c r="IYD476" s="54"/>
      <c r="IYE476" s="54"/>
      <c r="IYF476" s="54"/>
      <c r="IYG476" s="54"/>
      <c r="IYH476" s="54"/>
      <c r="IYI476" s="54"/>
      <c r="IYJ476" s="54"/>
      <c r="IYK476" s="54"/>
      <c r="IYL476" s="54"/>
      <c r="IYM476" s="54"/>
      <c r="IYN476" s="54"/>
      <c r="IYO476" s="54"/>
      <c r="IYP476" s="54"/>
      <c r="IYQ476" s="54"/>
      <c r="IYR476" s="54"/>
      <c r="IYS476" s="54"/>
      <c r="IYT476" s="54"/>
      <c r="IYU476" s="54"/>
      <c r="IYV476" s="54"/>
      <c r="IYW476" s="54"/>
      <c r="IYX476" s="54"/>
      <c r="IYY476" s="54"/>
      <c r="IYZ476" s="54"/>
      <c r="IZA476" s="54"/>
      <c r="IZB476" s="54"/>
      <c r="IZC476" s="54"/>
      <c r="IZD476" s="54"/>
      <c r="IZE476" s="54"/>
      <c r="IZF476" s="54"/>
      <c r="IZG476" s="54"/>
      <c r="IZH476" s="54"/>
      <c r="IZI476" s="54"/>
      <c r="IZJ476" s="54"/>
      <c r="IZK476" s="54"/>
      <c r="IZL476" s="54"/>
      <c r="IZM476" s="54"/>
      <c r="IZN476" s="54"/>
      <c r="IZO476" s="54"/>
      <c r="IZP476" s="54"/>
      <c r="IZQ476" s="54"/>
      <c r="IZR476" s="54"/>
      <c r="IZS476" s="54"/>
      <c r="IZT476" s="54"/>
      <c r="IZU476" s="54"/>
      <c r="IZV476" s="54"/>
      <c r="IZW476" s="54"/>
      <c r="IZX476" s="54"/>
      <c r="IZY476" s="54"/>
      <c r="IZZ476" s="54"/>
      <c r="JAA476" s="54"/>
      <c r="JAB476" s="54"/>
      <c r="JAC476" s="54"/>
      <c r="JAD476" s="54"/>
      <c r="JAE476" s="54"/>
      <c r="JAF476" s="54"/>
      <c r="JAG476" s="54"/>
      <c r="JAH476" s="54"/>
      <c r="JAI476" s="54"/>
      <c r="JAJ476" s="54"/>
      <c r="JAK476" s="54"/>
      <c r="JAL476" s="54"/>
      <c r="JAM476" s="54"/>
      <c r="JAN476" s="54"/>
      <c r="JAO476" s="54"/>
      <c r="JAP476" s="54"/>
      <c r="JAQ476" s="54"/>
      <c r="JAR476" s="54"/>
      <c r="JAS476" s="54"/>
      <c r="JAT476" s="54"/>
      <c r="JAU476" s="54"/>
      <c r="JAV476" s="54"/>
      <c r="JAW476" s="54"/>
      <c r="JAX476" s="54"/>
      <c r="JAY476" s="54"/>
      <c r="JAZ476" s="54"/>
      <c r="JBA476" s="54"/>
      <c r="JBB476" s="54"/>
      <c r="JBC476" s="54"/>
      <c r="JBD476" s="54"/>
      <c r="JBE476" s="54"/>
      <c r="JBF476" s="54"/>
      <c r="JBG476" s="54"/>
      <c r="JBH476" s="54"/>
      <c r="JBI476" s="54"/>
      <c r="JBJ476" s="54"/>
      <c r="JBK476" s="54"/>
      <c r="JBL476" s="54"/>
      <c r="JBM476" s="54"/>
      <c r="JBN476" s="54"/>
      <c r="JBO476" s="54"/>
      <c r="JBP476" s="54"/>
      <c r="JBQ476" s="54"/>
      <c r="JBR476" s="54"/>
      <c r="JBS476" s="54"/>
      <c r="JBT476" s="54"/>
      <c r="JBU476" s="54"/>
      <c r="JBV476" s="54"/>
      <c r="JBW476" s="54"/>
      <c r="JBX476" s="54"/>
      <c r="JBY476" s="54"/>
      <c r="JBZ476" s="54"/>
      <c r="JCA476" s="54"/>
      <c r="JCB476" s="54"/>
      <c r="JCC476" s="54"/>
      <c r="JCD476" s="54"/>
      <c r="JCE476" s="54"/>
      <c r="JCF476" s="54"/>
      <c r="JCG476" s="54"/>
      <c r="JCH476" s="54"/>
      <c r="JCI476" s="54"/>
      <c r="JCJ476" s="54"/>
      <c r="JCK476" s="54"/>
      <c r="JCL476" s="54"/>
      <c r="JCM476" s="54"/>
      <c r="JCN476" s="54"/>
      <c r="JCO476" s="54"/>
      <c r="JCP476" s="54"/>
      <c r="JCQ476" s="54"/>
      <c r="JCR476" s="54"/>
      <c r="JCS476" s="54"/>
      <c r="JCT476" s="54"/>
      <c r="JCU476" s="54"/>
      <c r="JCV476" s="54"/>
      <c r="JCW476" s="54"/>
      <c r="JCX476" s="54"/>
      <c r="JCY476" s="54"/>
      <c r="JCZ476" s="54"/>
      <c r="JDA476" s="54"/>
      <c r="JDB476" s="54"/>
      <c r="JDC476" s="54"/>
      <c r="JDD476" s="54"/>
      <c r="JDE476" s="54"/>
      <c r="JDF476" s="54"/>
      <c r="JDG476" s="54"/>
      <c r="JDH476" s="54"/>
      <c r="JDI476" s="54"/>
      <c r="JDJ476" s="54"/>
      <c r="JDK476" s="54"/>
      <c r="JDL476" s="54"/>
      <c r="JDM476" s="54"/>
      <c r="JDN476" s="54"/>
      <c r="JDO476" s="54"/>
      <c r="JDP476" s="54"/>
      <c r="JDQ476" s="54"/>
      <c r="JDR476" s="54"/>
      <c r="JDS476" s="54"/>
      <c r="JDT476" s="54"/>
      <c r="JDU476" s="54"/>
      <c r="JDV476" s="54"/>
      <c r="JDW476" s="54"/>
      <c r="JDX476" s="54"/>
      <c r="JDY476" s="54"/>
      <c r="JDZ476" s="54"/>
      <c r="JEA476" s="54"/>
      <c r="JEB476" s="54"/>
      <c r="JEC476" s="54"/>
      <c r="JED476" s="54"/>
      <c r="JEE476" s="54"/>
      <c r="JEF476" s="54"/>
      <c r="JEG476" s="54"/>
      <c r="JEH476" s="54"/>
      <c r="JEI476" s="54"/>
      <c r="JEJ476" s="54"/>
      <c r="JEK476" s="54"/>
      <c r="JEL476" s="54"/>
      <c r="JEM476" s="54"/>
      <c r="JEN476" s="54"/>
      <c r="JEO476" s="54"/>
      <c r="JEP476" s="54"/>
      <c r="JEQ476" s="54"/>
      <c r="JER476" s="54"/>
      <c r="JES476" s="54"/>
      <c r="JET476" s="54"/>
      <c r="JEU476" s="54"/>
      <c r="JEV476" s="54"/>
      <c r="JEW476" s="54"/>
      <c r="JEX476" s="54"/>
      <c r="JEY476" s="54"/>
      <c r="JEZ476" s="54"/>
      <c r="JFA476" s="54"/>
      <c r="JFB476" s="54"/>
      <c r="JFC476" s="54"/>
      <c r="JFD476" s="54"/>
      <c r="JFE476" s="54"/>
      <c r="JFF476" s="54"/>
      <c r="JFG476" s="54"/>
      <c r="JFH476" s="54"/>
      <c r="JFI476" s="54"/>
      <c r="JFJ476" s="54"/>
      <c r="JFK476" s="54"/>
      <c r="JFL476" s="54"/>
      <c r="JFM476" s="54"/>
      <c r="JFN476" s="54"/>
      <c r="JFO476" s="54"/>
      <c r="JFP476" s="54"/>
      <c r="JFQ476" s="54"/>
      <c r="JFR476" s="54"/>
      <c r="JFS476" s="54"/>
      <c r="JFT476" s="54"/>
      <c r="JFU476" s="54"/>
      <c r="JFV476" s="54"/>
      <c r="JFW476" s="54"/>
      <c r="JFX476" s="54"/>
      <c r="JFY476" s="54"/>
      <c r="JFZ476" s="54"/>
      <c r="JGA476" s="54"/>
      <c r="JGB476" s="54"/>
      <c r="JGC476" s="54"/>
      <c r="JGD476" s="54"/>
      <c r="JGE476" s="54"/>
      <c r="JGF476" s="54"/>
      <c r="JGG476" s="54"/>
      <c r="JGH476" s="54"/>
      <c r="JGI476" s="54"/>
      <c r="JGJ476" s="54"/>
      <c r="JGK476" s="54"/>
      <c r="JGL476" s="54"/>
      <c r="JGM476" s="54"/>
      <c r="JGN476" s="54"/>
      <c r="JGO476" s="54"/>
      <c r="JGP476" s="54"/>
      <c r="JGQ476" s="54"/>
      <c r="JGR476" s="54"/>
      <c r="JGS476" s="54"/>
      <c r="JGT476" s="54"/>
      <c r="JGU476" s="54"/>
      <c r="JGV476" s="54"/>
      <c r="JGW476" s="54"/>
      <c r="JGX476" s="54"/>
      <c r="JGY476" s="54"/>
      <c r="JGZ476" s="54"/>
      <c r="JHA476" s="54"/>
      <c r="JHB476" s="54"/>
      <c r="JHC476" s="54"/>
      <c r="JHD476" s="54"/>
      <c r="JHE476" s="54"/>
      <c r="JHF476" s="54"/>
      <c r="JHG476" s="54"/>
      <c r="JHH476" s="54"/>
      <c r="JHI476" s="54"/>
      <c r="JHJ476" s="54"/>
      <c r="JHK476" s="54"/>
      <c r="JHL476" s="54"/>
      <c r="JHM476" s="54"/>
      <c r="JHN476" s="54"/>
      <c r="JHO476" s="54"/>
      <c r="JHP476" s="54"/>
      <c r="JHQ476" s="54"/>
      <c r="JHR476" s="54"/>
      <c r="JHS476" s="54"/>
      <c r="JHT476" s="54"/>
      <c r="JHU476" s="54"/>
      <c r="JHV476" s="54"/>
      <c r="JHW476" s="54"/>
      <c r="JHX476" s="54"/>
      <c r="JHY476" s="54"/>
      <c r="JHZ476" s="54"/>
      <c r="JIA476" s="54"/>
      <c r="JIB476" s="54"/>
      <c r="JIC476" s="54"/>
      <c r="JID476" s="54"/>
      <c r="JIE476" s="54"/>
      <c r="JIF476" s="54"/>
      <c r="JIG476" s="54"/>
      <c r="JIH476" s="54"/>
      <c r="JII476" s="54"/>
      <c r="JIJ476" s="54"/>
      <c r="JIK476" s="54"/>
      <c r="JIL476" s="54"/>
      <c r="JIM476" s="54"/>
      <c r="JIN476" s="54"/>
      <c r="JIO476" s="54"/>
      <c r="JIP476" s="54"/>
      <c r="JIQ476" s="54"/>
      <c r="JIR476" s="54"/>
      <c r="JIS476" s="54"/>
      <c r="JIT476" s="54"/>
      <c r="JIU476" s="54"/>
      <c r="JIV476" s="54"/>
      <c r="JIW476" s="54"/>
      <c r="JIX476" s="54"/>
      <c r="JIY476" s="54"/>
      <c r="JIZ476" s="54"/>
      <c r="JJA476" s="54"/>
      <c r="JJB476" s="54"/>
      <c r="JJC476" s="54"/>
      <c r="JJD476" s="54"/>
      <c r="JJE476" s="54"/>
      <c r="JJF476" s="54"/>
      <c r="JJG476" s="54"/>
      <c r="JJH476" s="54"/>
      <c r="JJI476" s="54"/>
      <c r="JJJ476" s="54"/>
      <c r="JJK476" s="54"/>
      <c r="JJL476" s="54"/>
      <c r="JJM476" s="54"/>
      <c r="JJN476" s="54"/>
      <c r="JJO476" s="54"/>
      <c r="JJP476" s="54"/>
      <c r="JJQ476" s="54"/>
      <c r="JJR476" s="54"/>
      <c r="JJS476" s="54"/>
      <c r="JJT476" s="54"/>
      <c r="JJU476" s="54"/>
      <c r="JJV476" s="54"/>
      <c r="JJW476" s="54"/>
      <c r="JJX476" s="54"/>
      <c r="JJY476" s="54"/>
      <c r="JJZ476" s="54"/>
      <c r="JKA476" s="54"/>
      <c r="JKB476" s="54"/>
      <c r="JKC476" s="54"/>
      <c r="JKD476" s="54"/>
      <c r="JKE476" s="54"/>
      <c r="JKF476" s="54"/>
      <c r="JKG476" s="54"/>
      <c r="JKH476" s="54"/>
      <c r="JKI476" s="54"/>
      <c r="JKJ476" s="54"/>
      <c r="JKK476" s="54"/>
      <c r="JKL476" s="54"/>
      <c r="JKM476" s="54"/>
      <c r="JKN476" s="54"/>
      <c r="JKO476" s="54"/>
      <c r="JKP476" s="54"/>
      <c r="JKQ476" s="54"/>
      <c r="JKR476" s="54"/>
      <c r="JKS476" s="54"/>
      <c r="JKT476" s="54"/>
      <c r="JKU476" s="54"/>
      <c r="JKV476" s="54"/>
      <c r="JKW476" s="54"/>
      <c r="JKX476" s="54"/>
      <c r="JKY476" s="54"/>
      <c r="JKZ476" s="54"/>
      <c r="JLA476" s="54"/>
      <c r="JLB476" s="54"/>
      <c r="JLC476" s="54"/>
      <c r="JLD476" s="54"/>
      <c r="JLE476" s="54"/>
      <c r="JLF476" s="54"/>
      <c r="JLG476" s="54"/>
      <c r="JLH476" s="54"/>
      <c r="JLI476" s="54"/>
      <c r="JLJ476" s="54"/>
      <c r="JLK476" s="54"/>
      <c r="JLL476" s="54"/>
      <c r="JLM476" s="54"/>
      <c r="JLN476" s="54"/>
      <c r="JLO476" s="54"/>
      <c r="JLP476" s="54"/>
      <c r="JLQ476" s="54"/>
      <c r="JLR476" s="54"/>
      <c r="JLS476" s="54"/>
      <c r="JLT476" s="54"/>
      <c r="JLU476" s="54"/>
      <c r="JLV476" s="54"/>
      <c r="JLW476" s="54"/>
      <c r="JLX476" s="54"/>
      <c r="JLY476" s="54"/>
      <c r="JLZ476" s="54"/>
      <c r="JMA476" s="54"/>
      <c r="JMB476" s="54"/>
      <c r="JMC476" s="54"/>
      <c r="JMD476" s="54"/>
      <c r="JME476" s="54"/>
      <c r="JMF476" s="54"/>
      <c r="JMG476" s="54"/>
      <c r="JMH476" s="54"/>
      <c r="JMI476" s="54"/>
      <c r="JMJ476" s="54"/>
      <c r="JMK476" s="54"/>
      <c r="JML476" s="54"/>
      <c r="JMM476" s="54"/>
      <c r="JMN476" s="54"/>
      <c r="JMO476" s="54"/>
      <c r="JMP476" s="54"/>
      <c r="JMQ476" s="54"/>
      <c r="JMR476" s="54"/>
      <c r="JMS476" s="54"/>
      <c r="JMT476" s="54"/>
      <c r="JMU476" s="54"/>
      <c r="JMV476" s="54"/>
      <c r="JMW476" s="54"/>
      <c r="JMX476" s="54"/>
      <c r="JMY476" s="54"/>
      <c r="JMZ476" s="54"/>
      <c r="JNA476" s="54"/>
      <c r="JNB476" s="54"/>
      <c r="JNC476" s="54"/>
      <c r="JND476" s="54"/>
      <c r="JNE476" s="54"/>
      <c r="JNF476" s="54"/>
      <c r="JNG476" s="54"/>
      <c r="JNH476" s="54"/>
      <c r="JNI476" s="54"/>
      <c r="JNJ476" s="54"/>
      <c r="JNK476" s="54"/>
      <c r="JNL476" s="54"/>
      <c r="JNM476" s="54"/>
      <c r="JNN476" s="54"/>
      <c r="JNO476" s="54"/>
      <c r="JNP476" s="54"/>
      <c r="JNQ476" s="54"/>
      <c r="JNR476" s="54"/>
      <c r="JNS476" s="54"/>
      <c r="JNT476" s="54"/>
      <c r="JNU476" s="54"/>
      <c r="JNV476" s="54"/>
      <c r="JNW476" s="54"/>
      <c r="JNX476" s="54"/>
      <c r="JNY476" s="54"/>
      <c r="JNZ476" s="54"/>
      <c r="JOA476" s="54"/>
      <c r="JOB476" s="54"/>
      <c r="JOC476" s="54"/>
      <c r="JOD476" s="54"/>
      <c r="JOE476" s="54"/>
      <c r="JOF476" s="54"/>
      <c r="JOG476" s="54"/>
      <c r="JOH476" s="54"/>
      <c r="JOI476" s="54"/>
      <c r="JOJ476" s="54"/>
      <c r="JOK476" s="54"/>
      <c r="JOL476" s="54"/>
      <c r="JOM476" s="54"/>
      <c r="JON476" s="54"/>
      <c r="JOO476" s="54"/>
      <c r="JOP476" s="54"/>
      <c r="JOQ476" s="54"/>
      <c r="JOR476" s="54"/>
      <c r="JOS476" s="54"/>
      <c r="JOT476" s="54"/>
      <c r="JOU476" s="54"/>
      <c r="JOV476" s="54"/>
      <c r="JOW476" s="54"/>
      <c r="JOX476" s="54"/>
      <c r="JOY476" s="54"/>
      <c r="JOZ476" s="54"/>
      <c r="JPA476" s="54"/>
      <c r="JPB476" s="54"/>
      <c r="JPC476" s="54"/>
      <c r="JPD476" s="54"/>
      <c r="JPE476" s="54"/>
      <c r="JPF476" s="54"/>
      <c r="JPG476" s="54"/>
      <c r="JPH476" s="54"/>
      <c r="JPI476" s="54"/>
      <c r="JPJ476" s="54"/>
      <c r="JPK476" s="54"/>
      <c r="JPL476" s="54"/>
      <c r="JPM476" s="54"/>
      <c r="JPN476" s="54"/>
      <c r="JPO476" s="54"/>
      <c r="JPP476" s="54"/>
      <c r="JPQ476" s="54"/>
      <c r="JPR476" s="54"/>
      <c r="JPS476" s="54"/>
      <c r="JPT476" s="54"/>
      <c r="JPU476" s="54"/>
      <c r="JPV476" s="54"/>
      <c r="JPW476" s="54"/>
      <c r="JPX476" s="54"/>
      <c r="JPY476" s="54"/>
      <c r="JPZ476" s="54"/>
      <c r="JQA476" s="54"/>
      <c r="JQB476" s="54"/>
      <c r="JQC476" s="54"/>
      <c r="JQD476" s="54"/>
      <c r="JQE476" s="54"/>
      <c r="JQF476" s="54"/>
      <c r="JQG476" s="54"/>
      <c r="JQH476" s="54"/>
      <c r="JQI476" s="54"/>
      <c r="JQJ476" s="54"/>
      <c r="JQK476" s="54"/>
      <c r="JQL476" s="54"/>
      <c r="JQM476" s="54"/>
      <c r="JQN476" s="54"/>
      <c r="JQO476" s="54"/>
      <c r="JQP476" s="54"/>
      <c r="JQQ476" s="54"/>
      <c r="JQR476" s="54"/>
      <c r="JQS476" s="54"/>
      <c r="JQT476" s="54"/>
      <c r="JQU476" s="54"/>
      <c r="JQV476" s="54"/>
      <c r="JQW476" s="54"/>
      <c r="JQX476" s="54"/>
      <c r="JQY476" s="54"/>
      <c r="JQZ476" s="54"/>
      <c r="JRA476" s="54"/>
      <c r="JRB476" s="54"/>
      <c r="JRC476" s="54"/>
      <c r="JRD476" s="54"/>
      <c r="JRE476" s="54"/>
      <c r="JRF476" s="54"/>
      <c r="JRG476" s="54"/>
      <c r="JRH476" s="54"/>
      <c r="JRI476" s="54"/>
      <c r="JRJ476" s="54"/>
      <c r="JRK476" s="54"/>
      <c r="JRL476" s="54"/>
      <c r="JRM476" s="54"/>
      <c r="JRN476" s="54"/>
      <c r="JRO476" s="54"/>
      <c r="JRP476" s="54"/>
      <c r="JRQ476" s="54"/>
      <c r="JRR476" s="54"/>
      <c r="JRS476" s="54"/>
      <c r="JRT476" s="54"/>
      <c r="JRU476" s="54"/>
      <c r="JRV476" s="54"/>
      <c r="JRW476" s="54"/>
      <c r="JRX476" s="54"/>
      <c r="JRY476" s="54"/>
      <c r="JRZ476" s="54"/>
      <c r="JSA476" s="54"/>
      <c r="JSB476" s="54"/>
      <c r="JSC476" s="54"/>
      <c r="JSD476" s="54"/>
      <c r="JSE476" s="54"/>
      <c r="JSF476" s="54"/>
      <c r="JSG476" s="54"/>
      <c r="JSH476" s="54"/>
      <c r="JSI476" s="54"/>
      <c r="JSJ476" s="54"/>
      <c r="JSK476" s="54"/>
      <c r="JSL476" s="54"/>
      <c r="JSM476" s="54"/>
      <c r="JSN476" s="54"/>
      <c r="JSO476" s="54"/>
      <c r="JSP476" s="54"/>
      <c r="JSQ476" s="54"/>
      <c r="JSR476" s="54"/>
      <c r="JSS476" s="54"/>
      <c r="JST476" s="54"/>
      <c r="JSU476" s="54"/>
      <c r="JSV476" s="54"/>
      <c r="JSW476" s="54"/>
      <c r="JSX476" s="54"/>
      <c r="JSY476" s="54"/>
      <c r="JSZ476" s="54"/>
      <c r="JTA476" s="54"/>
      <c r="JTB476" s="54"/>
      <c r="JTC476" s="54"/>
      <c r="JTD476" s="54"/>
      <c r="JTE476" s="54"/>
      <c r="JTF476" s="54"/>
      <c r="JTG476" s="54"/>
      <c r="JTH476" s="54"/>
      <c r="JTI476" s="54"/>
      <c r="JTJ476" s="54"/>
      <c r="JTK476" s="54"/>
      <c r="JTL476" s="54"/>
      <c r="JTM476" s="54"/>
      <c r="JTN476" s="54"/>
      <c r="JTO476" s="54"/>
      <c r="JTP476" s="54"/>
      <c r="JTQ476" s="54"/>
      <c r="JTR476" s="54"/>
      <c r="JTS476" s="54"/>
      <c r="JTT476" s="54"/>
      <c r="JTU476" s="54"/>
      <c r="JTV476" s="54"/>
      <c r="JTW476" s="54"/>
      <c r="JTX476" s="54"/>
      <c r="JTY476" s="54"/>
      <c r="JTZ476" s="54"/>
      <c r="JUA476" s="54"/>
      <c r="JUB476" s="54"/>
      <c r="JUC476" s="54"/>
      <c r="JUD476" s="54"/>
      <c r="JUE476" s="54"/>
      <c r="JUF476" s="54"/>
      <c r="JUG476" s="54"/>
      <c r="JUH476" s="54"/>
      <c r="JUI476" s="54"/>
      <c r="JUJ476" s="54"/>
      <c r="JUK476" s="54"/>
      <c r="JUL476" s="54"/>
      <c r="JUM476" s="54"/>
      <c r="JUN476" s="54"/>
      <c r="JUO476" s="54"/>
      <c r="JUP476" s="54"/>
      <c r="JUQ476" s="54"/>
      <c r="JUR476" s="54"/>
      <c r="JUS476" s="54"/>
      <c r="JUT476" s="54"/>
      <c r="JUU476" s="54"/>
      <c r="JUV476" s="54"/>
      <c r="JUW476" s="54"/>
      <c r="JUX476" s="54"/>
      <c r="JUY476" s="54"/>
      <c r="JUZ476" s="54"/>
      <c r="JVA476" s="54"/>
      <c r="JVB476" s="54"/>
      <c r="JVC476" s="54"/>
      <c r="JVD476" s="54"/>
      <c r="JVE476" s="54"/>
      <c r="JVF476" s="54"/>
      <c r="JVG476" s="54"/>
      <c r="JVH476" s="54"/>
      <c r="JVI476" s="54"/>
      <c r="JVJ476" s="54"/>
      <c r="JVK476" s="54"/>
      <c r="JVL476" s="54"/>
      <c r="JVM476" s="54"/>
      <c r="JVN476" s="54"/>
      <c r="JVO476" s="54"/>
      <c r="JVP476" s="54"/>
      <c r="JVQ476" s="54"/>
      <c r="JVR476" s="54"/>
      <c r="JVS476" s="54"/>
      <c r="JVT476" s="54"/>
      <c r="JVU476" s="54"/>
      <c r="JVV476" s="54"/>
      <c r="JVW476" s="54"/>
      <c r="JVX476" s="54"/>
      <c r="JVY476" s="54"/>
      <c r="JVZ476" s="54"/>
      <c r="JWA476" s="54"/>
      <c r="JWB476" s="54"/>
      <c r="JWC476" s="54"/>
      <c r="JWD476" s="54"/>
      <c r="JWE476" s="54"/>
      <c r="JWF476" s="54"/>
      <c r="JWG476" s="54"/>
      <c r="JWH476" s="54"/>
      <c r="JWI476" s="54"/>
      <c r="JWJ476" s="54"/>
      <c r="JWK476" s="54"/>
      <c r="JWL476" s="54"/>
      <c r="JWM476" s="54"/>
      <c r="JWN476" s="54"/>
      <c r="JWO476" s="54"/>
      <c r="JWP476" s="54"/>
      <c r="JWQ476" s="54"/>
      <c r="JWR476" s="54"/>
      <c r="JWS476" s="54"/>
      <c r="JWT476" s="54"/>
      <c r="JWU476" s="54"/>
      <c r="JWV476" s="54"/>
      <c r="JWW476" s="54"/>
      <c r="JWX476" s="54"/>
      <c r="JWY476" s="54"/>
      <c r="JWZ476" s="54"/>
      <c r="JXA476" s="54"/>
      <c r="JXB476" s="54"/>
      <c r="JXC476" s="54"/>
      <c r="JXD476" s="54"/>
      <c r="JXE476" s="54"/>
      <c r="JXF476" s="54"/>
      <c r="JXG476" s="54"/>
      <c r="JXH476" s="54"/>
      <c r="JXI476" s="54"/>
      <c r="JXJ476" s="54"/>
      <c r="JXK476" s="54"/>
      <c r="JXL476" s="54"/>
      <c r="JXM476" s="54"/>
      <c r="JXN476" s="54"/>
      <c r="JXO476" s="54"/>
      <c r="JXP476" s="54"/>
      <c r="JXQ476" s="54"/>
      <c r="JXR476" s="54"/>
      <c r="JXS476" s="54"/>
      <c r="JXT476" s="54"/>
      <c r="JXU476" s="54"/>
      <c r="JXV476" s="54"/>
      <c r="JXW476" s="54"/>
      <c r="JXX476" s="54"/>
      <c r="JXY476" s="54"/>
      <c r="JXZ476" s="54"/>
      <c r="JYA476" s="54"/>
      <c r="JYB476" s="54"/>
      <c r="JYC476" s="54"/>
      <c r="JYD476" s="54"/>
      <c r="JYE476" s="54"/>
      <c r="JYF476" s="54"/>
      <c r="JYG476" s="54"/>
      <c r="JYH476" s="54"/>
      <c r="JYI476" s="54"/>
      <c r="JYJ476" s="54"/>
      <c r="JYK476" s="54"/>
      <c r="JYL476" s="54"/>
      <c r="JYM476" s="54"/>
      <c r="JYN476" s="54"/>
      <c r="JYO476" s="54"/>
      <c r="JYP476" s="54"/>
      <c r="JYQ476" s="54"/>
      <c r="JYR476" s="54"/>
      <c r="JYS476" s="54"/>
      <c r="JYT476" s="54"/>
      <c r="JYU476" s="54"/>
      <c r="JYV476" s="54"/>
      <c r="JYW476" s="54"/>
      <c r="JYX476" s="54"/>
      <c r="JYY476" s="54"/>
      <c r="JYZ476" s="54"/>
      <c r="JZA476" s="54"/>
      <c r="JZB476" s="54"/>
      <c r="JZC476" s="54"/>
      <c r="JZD476" s="54"/>
      <c r="JZE476" s="54"/>
      <c r="JZF476" s="54"/>
      <c r="JZG476" s="54"/>
      <c r="JZH476" s="54"/>
      <c r="JZI476" s="54"/>
      <c r="JZJ476" s="54"/>
      <c r="JZK476" s="54"/>
      <c r="JZL476" s="54"/>
      <c r="JZM476" s="54"/>
      <c r="JZN476" s="54"/>
      <c r="JZO476" s="54"/>
      <c r="JZP476" s="54"/>
      <c r="JZQ476" s="54"/>
      <c r="JZR476" s="54"/>
      <c r="JZS476" s="54"/>
      <c r="JZT476" s="54"/>
      <c r="JZU476" s="54"/>
      <c r="JZV476" s="54"/>
      <c r="JZW476" s="54"/>
      <c r="JZX476" s="54"/>
      <c r="JZY476" s="54"/>
      <c r="JZZ476" s="54"/>
      <c r="KAA476" s="54"/>
      <c r="KAB476" s="54"/>
      <c r="KAC476" s="54"/>
      <c r="KAD476" s="54"/>
      <c r="KAE476" s="54"/>
      <c r="KAF476" s="54"/>
      <c r="KAG476" s="54"/>
      <c r="KAH476" s="54"/>
      <c r="KAI476" s="54"/>
      <c r="KAJ476" s="54"/>
      <c r="KAK476" s="54"/>
      <c r="KAL476" s="54"/>
      <c r="KAM476" s="54"/>
      <c r="KAN476" s="54"/>
      <c r="KAO476" s="54"/>
      <c r="KAP476" s="54"/>
      <c r="KAQ476" s="54"/>
      <c r="KAR476" s="54"/>
      <c r="KAS476" s="54"/>
      <c r="KAT476" s="54"/>
      <c r="KAU476" s="54"/>
      <c r="KAV476" s="54"/>
      <c r="KAW476" s="54"/>
      <c r="KAX476" s="54"/>
      <c r="KAY476" s="54"/>
      <c r="KAZ476" s="54"/>
      <c r="KBA476" s="54"/>
      <c r="KBB476" s="54"/>
      <c r="KBC476" s="54"/>
      <c r="KBD476" s="54"/>
      <c r="KBE476" s="54"/>
      <c r="KBF476" s="54"/>
      <c r="KBG476" s="54"/>
      <c r="KBH476" s="54"/>
      <c r="KBI476" s="54"/>
      <c r="KBJ476" s="54"/>
      <c r="KBK476" s="54"/>
      <c r="KBL476" s="54"/>
      <c r="KBM476" s="54"/>
      <c r="KBN476" s="54"/>
      <c r="KBO476" s="54"/>
      <c r="KBP476" s="54"/>
      <c r="KBQ476" s="54"/>
      <c r="KBR476" s="54"/>
      <c r="KBS476" s="54"/>
      <c r="KBT476" s="54"/>
      <c r="KBU476" s="54"/>
      <c r="KBV476" s="54"/>
      <c r="KBW476" s="54"/>
      <c r="KBX476" s="54"/>
      <c r="KBY476" s="54"/>
      <c r="KBZ476" s="54"/>
      <c r="KCA476" s="54"/>
      <c r="KCB476" s="54"/>
      <c r="KCC476" s="54"/>
      <c r="KCD476" s="54"/>
      <c r="KCE476" s="54"/>
      <c r="KCF476" s="54"/>
      <c r="KCG476" s="54"/>
      <c r="KCH476" s="54"/>
      <c r="KCI476" s="54"/>
      <c r="KCJ476" s="54"/>
      <c r="KCK476" s="54"/>
      <c r="KCL476" s="54"/>
      <c r="KCM476" s="54"/>
      <c r="KCN476" s="54"/>
      <c r="KCO476" s="54"/>
      <c r="KCP476" s="54"/>
      <c r="KCQ476" s="54"/>
      <c r="KCR476" s="54"/>
      <c r="KCS476" s="54"/>
      <c r="KCT476" s="54"/>
      <c r="KCU476" s="54"/>
      <c r="KCV476" s="54"/>
      <c r="KCW476" s="54"/>
      <c r="KCX476" s="54"/>
      <c r="KCY476" s="54"/>
      <c r="KCZ476" s="54"/>
      <c r="KDA476" s="54"/>
      <c r="KDB476" s="54"/>
      <c r="KDC476" s="54"/>
      <c r="KDD476" s="54"/>
      <c r="KDE476" s="54"/>
      <c r="KDF476" s="54"/>
      <c r="KDG476" s="54"/>
      <c r="KDH476" s="54"/>
      <c r="KDI476" s="54"/>
      <c r="KDJ476" s="54"/>
      <c r="KDK476" s="54"/>
      <c r="KDL476" s="54"/>
      <c r="KDM476" s="54"/>
      <c r="KDN476" s="54"/>
      <c r="KDO476" s="54"/>
      <c r="KDP476" s="54"/>
      <c r="KDQ476" s="54"/>
      <c r="KDR476" s="54"/>
      <c r="KDS476" s="54"/>
      <c r="KDT476" s="54"/>
      <c r="KDU476" s="54"/>
      <c r="KDV476" s="54"/>
      <c r="KDW476" s="54"/>
      <c r="KDX476" s="54"/>
      <c r="KDY476" s="54"/>
      <c r="KDZ476" s="54"/>
      <c r="KEA476" s="54"/>
      <c r="KEB476" s="54"/>
      <c r="KEC476" s="54"/>
      <c r="KED476" s="54"/>
      <c r="KEE476" s="54"/>
      <c r="KEF476" s="54"/>
      <c r="KEG476" s="54"/>
      <c r="KEH476" s="54"/>
      <c r="KEI476" s="54"/>
      <c r="KEJ476" s="54"/>
      <c r="KEK476" s="54"/>
      <c r="KEL476" s="54"/>
      <c r="KEM476" s="54"/>
      <c r="KEN476" s="54"/>
      <c r="KEO476" s="54"/>
      <c r="KEP476" s="54"/>
      <c r="KEQ476" s="54"/>
      <c r="KER476" s="54"/>
      <c r="KES476" s="54"/>
      <c r="KET476" s="54"/>
      <c r="KEU476" s="54"/>
      <c r="KEV476" s="54"/>
      <c r="KEW476" s="54"/>
      <c r="KEX476" s="54"/>
      <c r="KEY476" s="54"/>
      <c r="KEZ476" s="54"/>
      <c r="KFA476" s="54"/>
      <c r="KFB476" s="54"/>
      <c r="KFC476" s="54"/>
      <c r="KFD476" s="54"/>
      <c r="KFE476" s="54"/>
      <c r="KFF476" s="54"/>
      <c r="KFG476" s="54"/>
      <c r="KFH476" s="54"/>
      <c r="KFI476" s="54"/>
      <c r="KFJ476" s="54"/>
      <c r="KFK476" s="54"/>
      <c r="KFL476" s="54"/>
      <c r="KFM476" s="54"/>
      <c r="KFN476" s="54"/>
      <c r="KFO476" s="54"/>
      <c r="KFP476" s="54"/>
      <c r="KFQ476" s="54"/>
      <c r="KFR476" s="54"/>
      <c r="KFS476" s="54"/>
      <c r="KFT476" s="54"/>
      <c r="KFU476" s="54"/>
      <c r="KFV476" s="54"/>
      <c r="KFW476" s="54"/>
      <c r="KFX476" s="54"/>
      <c r="KFY476" s="54"/>
      <c r="KFZ476" s="54"/>
      <c r="KGA476" s="54"/>
      <c r="KGB476" s="54"/>
      <c r="KGC476" s="54"/>
      <c r="KGD476" s="54"/>
      <c r="KGE476" s="54"/>
      <c r="KGF476" s="54"/>
      <c r="KGG476" s="54"/>
      <c r="KGH476" s="54"/>
      <c r="KGI476" s="54"/>
      <c r="KGJ476" s="54"/>
      <c r="KGK476" s="54"/>
      <c r="KGL476" s="54"/>
      <c r="KGM476" s="54"/>
      <c r="KGN476" s="54"/>
      <c r="KGO476" s="54"/>
      <c r="KGP476" s="54"/>
      <c r="KGQ476" s="54"/>
      <c r="KGR476" s="54"/>
      <c r="KGS476" s="54"/>
      <c r="KGT476" s="54"/>
      <c r="KGU476" s="54"/>
      <c r="KGV476" s="54"/>
      <c r="KGW476" s="54"/>
      <c r="KGX476" s="54"/>
      <c r="KGY476" s="54"/>
      <c r="KGZ476" s="54"/>
      <c r="KHA476" s="54"/>
      <c r="KHB476" s="54"/>
      <c r="KHC476" s="54"/>
      <c r="KHD476" s="54"/>
      <c r="KHE476" s="54"/>
      <c r="KHF476" s="54"/>
      <c r="KHG476" s="54"/>
      <c r="KHH476" s="54"/>
      <c r="KHI476" s="54"/>
      <c r="KHJ476" s="54"/>
      <c r="KHK476" s="54"/>
      <c r="KHL476" s="54"/>
      <c r="KHM476" s="54"/>
      <c r="KHN476" s="54"/>
      <c r="KHO476" s="54"/>
      <c r="KHP476" s="54"/>
      <c r="KHQ476" s="54"/>
      <c r="KHR476" s="54"/>
      <c r="KHS476" s="54"/>
      <c r="KHT476" s="54"/>
      <c r="KHU476" s="54"/>
      <c r="KHV476" s="54"/>
      <c r="KHW476" s="54"/>
      <c r="KHX476" s="54"/>
      <c r="KHY476" s="54"/>
      <c r="KHZ476" s="54"/>
      <c r="KIA476" s="54"/>
      <c r="KIB476" s="54"/>
      <c r="KIC476" s="54"/>
      <c r="KID476" s="54"/>
      <c r="KIE476" s="54"/>
      <c r="KIF476" s="54"/>
      <c r="KIG476" s="54"/>
      <c r="KIH476" s="54"/>
      <c r="KII476" s="54"/>
      <c r="KIJ476" s="54"/>
      <c r="KIK476" s="54"/>
      <c r="KIL476" s="54"/>
      <c r="KIM476" s="54"/>
      <c r="KIN476" s="54"/>
      <c r="KIO476" s="54"/>
      <c r="KIP476" s="54"/>
      <c r="KIQ476" s="54"/>
      <c r="KIR476" s="54"/>
      <c r="KIS476" s="54"/>
      <c r="KIT476" s="54"/>
      <c r="KIU476" s="54"/>
      <c r="KIV476" s="54"/>
      <c r="KIW476" s="54"/>
      <c r="KIX476" s="54"/>
      <c r="KIY476" s="54"/>
      <c r="KIZ476" s="54"/>
      <c r="KJA476" s="54"/>
      <c r="KJB476" s="54"/>
      <c r="KJC476" s="54"/>
      <c r="KJD476" s="54"/>
      <c r="KJE476" s="54"/>
      <c r="KJF476" s="54"/>
      <c r="KJG476" s="54"/>
      <c r="KJH476" s="54"/>
      <c r="KJI476" s="54"/>
      <c r="KJJ476" s="54"/>
      <c r="KJK476" s="54"/>
      <c r="KJL476" s="54"/>
      <c r="KJM476" s="54"/>
      <c r="KJN476" s="54"/>
      <c r="KJO476" s="54"/>
      <c r="KJP476" s="54"/>
      <c r="KJQ476" s="54"/>
      <c r="KJR476" s="54"/>
      <c r="KJS476" s="54"/>
      <c r="KJT476" s="54"/>
      <c r="KJU476" s="54"/>
      <c r="KJV476" s="54"/>
      <c r="KJW476" s="54"/>
      <c r="KJX476" s="54"/>
      <c r="KJY476" s="54"/>
      <c r="KJZ476" s="54"/>
      <c r="KKA476" s="54"/>
      <c r="KKB476" s="54"/>
      <c r="KKC476" s="54"/>
      <c r="KKD476" s="54"/>
      <c r="KKE476" s="54"/>
      <c r="KKF476" s="54"/>
      <c r="KKG476" s="54"/>
      <c r="KKH476" s="54"/>
      <c r="KKI476" s="54"/>
      <c r="KKJ476" s="54"/>
      <c r="KKK476" s="54"/>
      <c r="KKL476" s="54"/>
      <c r="KKM476" s="54"/>
      <c r="KKN476" s="54"/>
      <c r="KKO476" s="54"/>
      <c r="KKP476" s="54"/>
      <c r="KKQ476" s="54"/>
      <c r="KKR476" s="54"/>
      <c r="KKS476" s="54"/>
      <c r="KKT476" s="54"/>
      <c r="KKU476" s="54"/>
      <c r="KKV476" s="54"/>
      <c r="KKW476" s="54"/>
      <c r="KKX476" s="54"/>
      <c r="KKY476" s="54"/>
      <c r="KKZ476" s="54"/>
      <c r="KLA476" s="54"/>
      <c r="KLB476" s="54"/>
      <c r="KLC476" s="54"/>
      <c r="KLD476" s="54"/>
      <c r="KLE476" s="54"/>
      <c r="KLF476" s="54"/>
      <c r="KLG476" s="54"/>
      <c r="KLH476" s="54"/>
      <c r="KLI476" s="54"/>
      <c r="KLJ476" s="54"/>
      <c r="KLK476" s="54"/>
      <c r="KLL476" s="54"/>
      <c r="KLM476" s="54"/>
      <c r="KLN476" s="54"/>
      <c r="KLO476" s="54"/>
      <c r="KLP476" s="54"/>
      <c r="KLQ476" s="54"/>
      <c r="KLR476" s="54"/>
      <c r="KLS476" s="54"/>
      <c r="KLT476" s="54"/>
      <c r="KLU476" s="54"/>
      <c r="KLV476" s="54"/>
      <c r="KLW476" s="54"/>
      <c r="KLX476" s="54"/>
      <c r="KLY476" s="54"/>
      <c r="KLZ476" s="54"/>
      <c r="KMA476" s="54"/>
      <c r="KMB476" s="54"/>
      <c r="KMC476" s="54"/>
      <c r="KMD476" s="54"/>
      <c r="KME476" s="54"/>
      <c r="KMF476" s="54"/>
      <c r="KMG476" s="54"/>
      <c r="KMH476" s="54"/>
      <c r="KMI476" s="54"/>
      <c r="KMJ476" s="54"/>
      <c r="KMK476" s="54"/>
      <c r="KML476" s="54"/>
      <c r="KMM476" s="54"/>
      <c r="KMN476" s="54"/>
      <c r="KMO476" s="54"/>
      <c r="KMP476" s="54"/>
      <c r="KMQ476" s="54"/>
      <c r="KMR476" s="54"/>
      <c r="KMS476" s="54"/>
      <c r="KMT476" s="54"/>
      <c r="KMU476" s="54"/>
      <c r="KMV476" s="54"/>
      <c r="KMW476" s="54"/>
      <c r="KMX476" s="54"/>
      <c r="KMY476" s="54"/>
      <c r="KMZ476" s="54"/>
      <c r="KNA476" s="54"/>
      <c r="KNB476" s="54"/>
      <c r="KNC476" s="54"/>
      <c r="KND476" s="54"/>
      <c r="KNE476" s="54"/>
      <c r="KNF476" s="54"/>
      <c r="KNG476" s="54"/>
      <c r="KNH476" s="54"/>
      <c r="KNI476" s="54"/>
      <c r="KNJ476" s="54"/>
      <c r="KNK476" s="54"/>
      <c r="KNL476" s="54"/>
      <c r="KNM476" s="54"/>
      <c r="KNN476" s="54"/>
      <c r="KNO476" s="54"/>
      <c r="KNP476" s="54"/>
      <c r="KNQ476" s="54"/>
      <c r="KNR476" s="54"/>
      <c r="KNS476" s="54"/>
      <c r="KNT476" s="54"/>
      <c r="KNU476" s="54"/>
      <c r="KNV476" s="54"/>
      <c r="KNW476" s="54"/>
      <c r="KNX476" s="54"/>
      <c r="KNY476" s="54"/>
      <c r="KNZ476" s="54"/>
      <c r="KOA476" s="54"/>
      <c r="KOB476" s="54"/>
      <c r="KOC476" s="54"/>
      <c r="KOD476" s="54"/>
      <c r="KOE476" s="54"/>
      <c r="KOF476" s="54"/>
      <c r="KOG476" s="54"/>
      <c r="KOH476" s="54"/>
      <c r="KOI476" s="54"/>
      <c r="KOJ476" s="54"/>
      <c r="KOK476" s="54"/>
      <c r="KOL476" s="54"/>
      <c r="KOM476" s="54"/>
      <c r="KON476" s="54"/>
      <c r="KOO476" s="54"/>
      <c r="KOP476" s="54"/>
      <c r="KOQ476" s="54"/>
      <c r="KOR476" s="54"/>
      <c r="KOS476" s="54"/>
      <c r="KOT476" s="54"/>
      <c r="KOU476" s="54"/>
      <c r="KOV476" s="54"/>
      <c r="KOW476" s="54"/>
      <c r="KOX476" s="54"/>
      <c r="KOY476" s="54"/>
      <c r="KOZ476" s="54"/>
      <c r="KPA476" s="54"/>
      <c r="KPB476" s="54"/>
      <c r="KPC476" s="54"/>
      <c r="KPD476" s="54"/>
      <c r="KPE476" s="54"/>
      <c r="KPF476" s="54"/>
      <c r="KPG476" s="54"/>
      <c r="KPH476" s="54"/>
      <c r="KPI476" s="54"/>
      <c r="KPJ476" s="54"/>
      <c r="KPK476" s="54"/>
      <c r="KPL476" s="54"/>
      <c r="KPM476" s="54"/>
      <c r="KPN476" s="54"/>
      <c r="KPO476" s="54"/>
      <c r="KPP476" s="54"/>
      <c r="KPQ476" s="54"/>
      <c r="KPR476" s="54"/>
      <c r="KPS476" s="54"/>
      <c r="KPT476" s="54"/>
      <c r="KPU476" s="54"/>
      <c r="KPV476" s="54"/>
      <c r="KPW476" s="54"/>
      <c r="KPX476" s="54"/>
      <c r="KPY476" s="54"/>
      <c r="KPZ476" s="54"/>
      <c r="KQA476" s="54"/>
      <c r="KQB476" s="54"/>
      <c r="KQC476" s="54"/>
      <c r="KQD476" s="54"/>
      <c r="KQE476" s="54"/>
      <c r="KQF476" s="54"/>
      <c r="KQG476" s="54"/>
      <c r="KQH476" s="54"/>
      <c r="KQI476" s="54"/>
      <c r="KQJ476" s="54"/>
      <c r="KQK476" s="54"/>
      <c r="KQL476" s="54"/>
      <c r="KQM476" s="54"/>
      <c r="KQN476" s="54"/>
      <c r="KQO476" s="54"/>
      <c r="KQP476" s="54"/>
      <c r="KQQ476" s="54"/>
      <c r="KQR476" s="54"/>
      <c r="KQS476" s="54"/>
      <c r="KQT476" s="54"/>
      <c r="KQU476" s="54"/>
      <c r="KQV476" s="54"/>
      <c r="KQW476" s="54"/>
      <c r="KQX476" s="54"/>
      <c r="KQY476" s="54"/>
      <c r="KQZ476" s="54"/>
      <c r="KRA476" s="54"/>
      <c r="KRB476" s="54"/>
      <c r="KRC476" s="54"/>
      <c r="KRD476" s="54"/>
      <c r="KRE476" s="54"/>
      <c r="KRF476" s="54"/>
      <c r="KRG476" s="54"/>
      <c r="KRH476" s="54"/>
      <c r="KRI476" s="54"/>
      <c r="KRJ476" s="54"/>
      <c r="KRK476" s="54"/>
      <c r="KRL476" s="54"/>
      <c r="KRM476" s="54"/>
      <c r="KRN476" s="54"/>
      <c r="KRO476" s="54"/>
      <c r="KRP476" s="54"/>
      <c r="KRQ476" s="54"/>
      <c r="KRR476" s="54"/>
      <c r="KRS476" s="54"/>
      <c r="KRT476" s="54"/>
      <c r="KRU476" s="54"/>
      <c r="KRV476" s="54"/>
      <c r="KRW476" s="54"/>
      <c r="KRX476" s="54"/>
      <c r="KRY476" s="54"/>
      <c r="KRZ476" s="54"/>
      <c r="KSA476" s="54"/>
      <c r="KSB476" s="54"/>
      <c r="KSC476" s="54"/>
      <c r="KSD476" s="54"/>
      <c r="KSE476" s="54"/>
      <c r="KSF476" s="54"/>
      <c r="KSG476" s="54"/>
      <c r="KSH476" s="54"/>
      <c r="KSI476" s="54"/>
      <c r="KSJ476" s="54"/>
      <c r="KSK476" s="54"/>
      <c r="KSL476" s="54"/>
      <c r="KSM476" s="54"/>
      <c r="KSN476" s="54"/>
      <c r="KSO476" s="54"/>
      <c r="KSP476" s="54"/>
      <c r="KSQ476" s="54"/>
      <c r="KSR476" s="54"/>
      <c r="KSS476" s="54"/>
      <c r="KST476" s="54"/>
      <c r="KSU476" s="54"/>
      <c r="KSV476" s="54"/>
      <c r="KSW476" s="54"/>
      <c r="KSX476" s="54"/>
      <c r="KSY476" s="54"/>
      <c r="KSZ476" s="54"/>
      <c r="KTA476" s="54"/>
      <c r="KTB476" s="54"/>
      <c r="KTC476" s="54"/>
      <c r="KTD476" s="54"/>
      <c r="KTE476" s="54"/>
      <c r="KTF476" s="54"/>
      <c r="KTG476" s="54"/>
      <c r="KTH476" s="54"/>
      <c r="KTI476" s="54"/>
      <c r="KTJ476" s="54"/>
      <c r="KTK476" s="54"/>
      <c r="KTL476" s="54"/>
      <c r="KTM476" s="54"/>
      <c r="KTN476" s="54"/>
      <c r="KTO476" s="54"/>
      <c r="KTP476" s="54"/>
      <c r="KTQ476" s="54"/>
      <c r="KTR476" s="54"/>
      <c r="KTS476" s="54"/>
      <c r="KTT476" s="54"/>
      <c r="KTU476" s="54"/>
      <c r="KTV476" s="54"/>
      <c r="KTW476" s="54"/>
      <c r="KTX476" s="54"/>
      <c r="KTY476" s="54"/>
      <c r="KTZ476" s="54"/>
      <c r="KUA476" s="54"/>
      <c r="KUB476" s="54"/>
      <c r="KUC476" s="54"/>
      <c r="KUD476" s="54"/>
      <c r="KUE476" s="54"/>
      <c r="KUF476" s="54"/>
      <c r="KUG476" s="54"/>
      <c r="KUH476" s="54"/>
      <c r="KUI476" s="54"/>
      <c r="KUJ476" s="54"/>
      <c r="KUK476" s="54"/>
      <c r="KUL476" s="54"/>
      <c r="KUM476" s="54"/>
      <c r="KUN476" s="54"/>
      <c r="KUO476" s="54"/>
      <c r="KUP476" s="54"/>
      <c r="KUQ476" s="54"/>
      <c r="KUR476" s="54"/>
      <c r="KUS476" s="54"/>
      <c r="KUT476" s="54"/>
      <c r="KUU476" s="54"/>
      <c r="KUV476" s="54"/>
      <c r="KUW476" s="54"/>
      <c r="KUX476" s="54"/>
      <c r="KUY476" s="54"/>
      <c r="KUZ476" s="54"/>
      <c r="KVA476" s="54"/>
      <c r="KVB476" s="54"/>
      <c r="KVC476" s="54"/>
      <c r="KVD476" s="54"/>
      <c r="KVE476" s="54"/>
      <c r="KVF476" s="54"/>
      <c r="KVG476" s="54"/>
      <c r="KVH476" s="54"/>
      <c r="KVI476" s="54"/>
      <c r="KVJ476" s="54"/>
      <c r="KVK476" s="54"/>
      <c r="KVL476" s="54"/>
      <c r="KVM476" s="54"/>
      <c r="KVN476" s="54"/>
      <c r="KVO476" s="54"/>
      <c r="KVP476" s="54"/>
      <c r="KVQ476" s="54"/>
      <c r="KVR476" s="54"/>
      <c r="KVS476" s="54"/>
      <c r="KVT476" s="54"/>
      <c r="KVU476" s="54"/>
      <c r="KVV476" s="54"/>
      <c r="KVW476" s="54"/>
      <c r="KVX476" s="54"/>
      <c r="KVY476" s="54"/>
      <c r="KVZ476" s="54"/>
      <c r="KWA476" s="54"/>
      <c r="KWB476" s="54"/>
      <c r="KWC476" s="54"/>
      <c r="KWD476" s="54"/>
      <c r="KWE476" s="54"/>
      <c r="KWF476" s="54"/>
      <c r="KWG476" s="54"/>
      <c r="KWH476" s="54"/>
      <c r="KWI476" s="54"/>
      <c r="KWJ476" s="54"/>
      <c r="KWK476" s="54"/>
      <c r="KWL476" s="54"/>
      <c r="KWM476" s="54"/>
      <c r="KWN476" s="54"/>
      <c r="KWO476" s="54"/>
      <c r="KWP476" s="54"/>
      <c r="KWQ476" s="54"/>
      <c r="KWR476" s="54"/>
      <c r="KWS476" s="54"/>
      <c r="KWT476" s="54"/>
      <c r="KWU476" s="54"/>
      <c r="KWV476" s="54"/>
      <c r="KWW476" s="54"/>
      <c r="KWX476" s="54"/>
      <c r="KWY476" s="54"/>
      <c r="KWZ476" s="54"/>
      <c r="KXA476" s="54"/>
      <c r="KXB476" s="54"/>
      <c r="KXC476" s="54"/>
      <c r="KXD476" s="54"/>
      <c r="KXE476" s="54"/>
      <c r="KXF476" s="54"/>
      <c r="KXG476" s="54"/>
      <c r="KXH476" s="54"/>
      <c r="KXI476" s="54"/>
      <c r="KXJ476" s="54"/>
      <c r="KXK476" s="54"/>
      <c r="KXL476" s="54"/>
      <c r="KXM476" s="54"/>
      <c r="KXN476" s="54"/>
      <c r="KXO476" s="54"/>
      <c r="KXP476" s="54"/>
      <c r="KXQ476" s="54"/>
      <c r="KXR476" s="54"/>
      <c r="KXS476" s="54"/>
      <c r="KXT476" s="54"/>
      <c r="KXU476" s="54"/>
      <c r="KXV476" s="54"/>
      <c r="KXW476" s="54"/>
      <c r="KXX476" s="54"/>
      <c r="KXY476" s="54"/>
      <c r="KXZ476" s="54"/>
      <c r="KYA476" s="54"/>
      <c r="KYB476" s="54"/>
      <c r="KYC476" s="54"/>
      <c r="KYD476" s="54"/>
      <c r="KYE476" s="54"/>
      <c r="KYF476" s="54"/>
      <c r="KYG476" s="54"/>
      <c r="KYH476" s="54"/>
      <c r="KYI476" s="54"/>
      <c r="KYJ476" s="54"/>
      <c r="KYK476" s="54"/>
      <c r="KYL476" s="54"/>
      <c r="KYM476" s="54"/>
      <c r="KYN476" s="54"/>
      <c r="KYO476" s="54"/>
      <c r="KYP476" s="54"/>
      <c r="KYQ476" s="54"/>
      <c r="KYR476" s="54"/>
      <c r="KYS476" s="54"/>
      <c r="KYT476" s="54"/>
      <c r="KYU476" s="54"/>
      <c r="KYV476" s="54"/>
      <c r="KYW476" s="54"/>
      <c r="KYX476" s="54"/>
      <c r="KYY476" s="54"/>
      <c r="KYZ476" s="54"/>
      <c r="KZA476" s="54"/>
      <c r="KZB476" s="54"/>
      <c r="KZC476" s="54"/>
      <c r="KZD476" s="54"/>
      <c r="KZE476" s="54"/>
      <c r="KZF476" s="54"/>
      <c r="KZG476" s="54"/>
      <c r="KZH476" s="54"/>
      <c r="KZI476" s="54"/>
      <c r="KZJ476" s="54"/>
      <c r="KZK476" s="54"/>
      <c r="KZL476" s="54"/>
      <c r="KZM476" s="54"/>
      <c r="KZN476" s="54"/>
      <c r="KZO476" s="54"/>
      <c r="KZP476" s="54"/>
      <c r="KZQ476" s="54"/>
      <c r="KZR476" s="54"/>
      <c r="KZS476" s="54"/>
      <c r="KZT476" s="54"/>
      <c r="KZU476" s="54"/>
      <c r="KZV476" s="54"/>
      <c r="KZW476" s="54"/>
      <c r="KZX476" s="54"/>
      <c r="KZY476" s="54"/>
      <c r="KZZ476" s="54"/>
      <c r="LAA476" s="54"/>
      <c r="LAB476" s="54"/>
      <c r="LAC476" s="54"/>
      <c r="LAD476" s="54"/>
      <c r="LAE476" s="54"/>
      <c r="LAF476" s="54"/>
      <c r="LAG476" s="54"/>
      <c r="LAH476" s="54"/>
      <c r="LAI476" s="54"/>
      <c r="LAJ476" s="54"/>
      <c r="LAK476" s="54"/>
      <c r="LAL476" s="54"/>
      <c r="LAM476" s="54"/>
      <c r="LAN476" s="54"/>
      <c r="LAO476" s="54"/>
      <c r="LAP476" s="54"/>
      <c r="LAQ476" s="54"/>
      <c r="LAR476" s="54"/>
      <c r="LAS476" s="54"/>
      <c r="LAT476" s="54"/>
      <c r="LAU476" s="54"/>
      <c r="LAV476" s="54"/>
      <c r="LAW476" s="54"/>
      <c r="LAX476" s="54"/>
      <c r="LAY476" s="54"/>
      <c r="LAZ476" s="54"/>
      <c r="LBA476" s="54"/>
      <c r="LBB476" s="54"/>
      <c r="LBC476" s="54"/>
      <c r="LBD476" s="54"/>
      <c r="LBE476" s="54"/>
      <c r="LBF476" s="54"/>
      <c r="LBG476" s="54"/>
      <c r="LBH476" s="54"/>
      <c r="LBI476" s="54"/>
      <c r="LBJ476" s="54"/>
      <c r="LBK476" s="54"/>
      <c r="LBL476" s="54"/>
      <c r="LBM476" s="54"/>
      <c r="LBN476" s="54"/>
      <c r="LBO476" s="54"/>
      <c r="LBP476" s="54"/>
      <c r="LBQ476" s="54"/>
      <c r="LBR476" s="54"/>
      <c r="LBS476" s="54"/>
      <c r="LBT476" s="54"/>
      <c r="LBU476" s="54"/>
      <c r="LBV476" s="54"/>
      <c r="LBW476" s="54"/>
      <c r="LBX476" s="54"/>
      <c r="LBY476" s="54"/>
      <c r="LBZ476" s="54"/>
      <c r="LCA476" s="54"/>
      <c r="LCB476" s="54"/>
      <c r="LCC476" s="54"/>
      <c r="LCD476" s="54"/>
      <c r="LCE476" s="54"/>
      <c r="LCF476" s="54"/>
      <c r="LCG476" s="54"/>
      <c r="LCH476" s="54"/>
      <c r="LCI476" s="54"/>
      <c r="LCJ476" s="54"/>
      <c r="LCK476" s="54"/>
      <c r="LCL476" s="54"/>
      <c r="LCM476" s="54"/>
      <c r="LCN476" s="54"/>
      <c r="LCO476" s="54"/>
      <c r="LCP476" s="54"/>
      <c r="LCQ476" s="54"/>
      <c r="LCR476" s="54"/>
      <c r="LCS476" s="54"/>
      <c r="LCT476" s="54"/>
      <c r="LCU476" s="54"/>
      <c r="LCV476" s="54"/>
      <c r="LCW476" s="54"/>
      <c r="LCX476" s="54"/>
      <c r="LCY476" s="54"/>
      <c r="LCZ476" s="54"/>
      <c r="LDA476" s="54"/>
      <c r="LDB476" s="54"/>
      <c r="LDC476" s="54"/>
      <c r="LDD476" s="54"/>
      <c r="LDE476" s="54"/>
      <c r="LDF476" s="54"/>
      <c r="LDG476" s="54"/>
      <c r="LDH476" s="54"/>
      <c r="LDI476" s="54"/>
      <c r="LDJ476" s="54"/>
      <c r="LDK476" s="54"/>
      <c r="LDL476" s="54"/>
      <c r="LDM476" s="54"/>
      <c r="LDN476" s="54"/>
      <c r="LDO476" s="54"/>
      <c r="LDP476" s="54"/>
      <c r="LDQ476" s="54"/>
      <c r="LDR476" s="54"/>
      <c r="LDS476" s="54"/>
      <c r="LDT476" s="54"/>
      <c r="LDU476" s="54"/>
      <c r="LDV476" s="54"/>
      <c r="LDW476" s="54"/>
      <c r="LDX476" s="54"/>
      <c r="LDY476" s="54"/>
      <c r="LDZ476" s="54"/>
      <c r="LEA476" s="54"/>
      <c r="LEB476" s="54"/>
      <c r="LEC476" s="54"/>
      <c r="LED476" s="54"/>
      <c r="LEE476" s="54"/>
      <c r="LEF476" s="54"/>
      <c r="LEG476" s="54"/>
      <c r="LEH476" s="54"/>
      <c r="LEI476" s="54"/>
      <c r="LEJ476" s="54"/>
      <c r="LEK476" s="54"/>
      <c r="LEL476" s="54"/>
      <c r="LEM476" s="54"/>
      <c r="LEN476" s="54"/>
      <c r="LEO476" s="54"/>
      <c r="LEP476" s="54"/>
      <c r="LEQ476" s="54"/>
      <c r="LER476" s="54"/>
      <c r="LES476" s="54"/>
      <c r="LET476" s="54"/>
      <c r="LEU476" s="54"/>
      <c r="LEV476" s="54"/>
      <c r="LEW476" s="54"/>
      <c r="LEX476" s="54"/>
      <c r="LEY476" s="54"/>
      <c r="LEZ476" s="54"/>
      <c r="LFA476" s="54"/>
      <c r="LFB476" s="54"/>
      <c r="LFC476" s="54"/>
      <c r="LFD476" s="54"/>
      <c r="LFE476" s="54"/>
      <c r="LFF476" s="54"/>
      <c r="LFG476" s="54"/>
      <c r="LFH476" s="54"/>
      <c r="LFI476" s="54"/>
      <c r="LFJ476" s="54"/>
      <c r="LFK476" s="54"/>
      <c r="LFL476" s="54"/>
      <c r="LFM476" s="54"/>
      <c r="LFN476" s="54"/>
      <c r="LFO476" s="54"/>
      <c r="LFP476" s="54"/>
      <c r="LFQ476" s="54"/>
      <c r="LFR476" s="54"/>
      <c r="LFS476" s="54"/>
      <c r="LFT476" s="54"/>
      <c r="LFU476" s="54"/>
      <c r="LFV476" s="54"/>
      <c r="LFW476" s="54"/>
      <c r="LFX476" s="54"/>
      <c r="LFY476" s="54"/>
      <c r="LFZ476" s="54"/>
      <c r="LGA476" s="54"/>
      <c r="LGB476" s="54"/>
      <c r="LGC476" s="54"/>
      <c r="LGD476" s="54"/>
      <c r="LGE476" s="54"/>
      <c r="LGF476" s="54"/>
      <c r="LGG476" s="54"/>
      <c r="LGH476" s="54"/>
      <c r="LGI476" s="54"/>
      <c r="LGJ476" s="54"/>
      <c r="LGK476" s="54"/>
      <c r="LGL476" s="54"/>
      <c r="LGM476" s="54"/>
      <c r="LGN476" s="54"/>
      <c r="LGO476" s="54"/>
      <c r="LGP476" s="54"/>
      <c r="LGQ476" s="54"/>
      <c r="LGR476" s="54"/>
      <c r="LGS476" s="54"/>
      <c r="LGT476" s="54"/>
      <c r="LGU476" s="54"/>
      <c r="LGV476" s="54"/>
      <c r="LGW476" s="54"/>
      <c r="LGX476" s="54"/>
      <c r="LGY476" s="54"/>
      <c r="LGZ476" s="54"/>
      <c r="LHA476" s="54"/>
      <c r="LHB476" s="54"/>
      <c r="LHC476" s="54"/>
      <c r="LHD476" s="54"/>
      <c r="LHE476" s="54"/>
      <c r="LHF476" s="54"/>
      <c r="LHG476" s="54"/>
      <c r="LHH476" s="54"/>
      <c r="LHI476" s="54"/>
      <c r="LHJ476" s="54"/>
      <c r="LHK476" s="54"/>
      <c r="LHL476" s="54"/>
      <c r="LHM476" s="54"/>
      <c r="LHN476" s="54"/>
      <c r="LHO476" s="54"/>
      <c r="LHP476" s="54"/>
      <c r="LHQ476" s="54"/>
      <c r="LHR476" s="54"/>
      <c r="LHS476" s="54"/>
      <c r="LHT476" s="54"/>
      <c r="LHU476" s="54"/>
      <c r="LHV476" s="54"/>
      <c r="LHW476" s="54"/>
      <c r="LHX476" s="54"/>
      <c r="LHY476" s="54"/>
      <c r="LHZ476" s="54"/>
      <c r="LIA476" s="54"/>
      <c r="LIB476" s="54"/>
      <c r="LIC476" s="54"/>
      <c r="LID476" s="54"/>
      <c r="LIE476" s="54"/>
      <c r="LIF476" s="54"/>
      <c r="LIG476" s="54"/>
      <c r="LIH476" s="54"/>
      <c r="LII476" s="54"/>
      <c r="LIJ476" s="54"/>
      <c r="LIK476" s="54"/>
      <c r="LIL476" s="54"/>
      <c r="LIM476" s="54"/>
      <c r="LIN476" s="54"/>
      <c r="LIO476" s="54"/>
      <c r="LIP476" s="54"/>
      <c r="LIQ476" s="54"/>
      <c r="LIR476" s="54"/>
      <c r="LIS476" s="54"/>
      <c r="LIT476" s="54"/>
      <c r="LIU476" s="54"/>
      <c r="LIV476" s="54"/>
      <c r="LIW476" s="54"/>
      <c r="LIX476" s="54"/>
      <c r="LIY476" s="54"/>
      <c r="LIZ476" s="54"/>
      <c r="LJA476" s="54"/>
      <c r="LJB476" s="54"/>
      <c r="LJC476" s="54"/>
      <c r="LJD476" s="54"/>
      <c r="LJE476" s="54"/>
      <c r="LJF476" s="54"/>
      <c r="LJG476" s="54"/>
      <c r="LJH476" s="54"/>
      <c r="LJI476" s="54"/>
      <c r="LJJ476" s="54"/>
      <c r="LJK476" s="54"/>
      <c r="LJL476" s="54"/>
      <c r="LJM476" s="54"/>
      <c r="LJN476" s="54"/>
      <c r="LJO476" s="54"/>
      <c r="LJP476" s="54"/>
      <c r="LJQ476" s="54"/>
      <c r="LJR476" s="54"/>
      <c r="LJS476" s="54"/>
      <c r="LJT476" s="54"/>
      <c r="LJU476" s="54"/>
      <c r="LJV476" s="54"/>
      <c r="LJW476" s="54"/>
      <c r="LJX476" s="54"/>
      <c r="LJY476" s="54"/>
      <c r="LJZ476" s="54"/>
      <c r="LKA476" s="54"/>
      <c r="LKB476" s="54"/>
      <c r="LKC476" s="54"/>
      <c r="LKD476" s="54"/>
      <c r="LKE476" s="54"/>
      <c r="LKF476" s="54"/>
      <c r="LKG476" s="54"/>
      <c r="LKH476" s="54"/>
      <c r="LKI476" s="54"/>
      <c r="LKJ476" s="54"/>
      <c r="LKK476" s="54"/>
      <c r="LKL476" s="54"/>
      <c r="LKM476" s="54"/>
      <c r="LKN476" s="54"/>
      <c r="LKO476" s="54"/>
      <c r="LKP476" s="54"/>
      <c r="LKQ476" s="54"/>
      <c r="LKR476" s="54"/>
      <c r="LKS476" s="54"/>
      <c r="LKT476" s="54"/>
      <c r="LKU476" s="54"/>
      <c r="LKV476" s="54"/>
      <c r="LKW476" s="54"/>
      <c r="LKX476" s="54"/>
      <c r="LKY476" s="54"/>
      <c r="LKZ476" s="54"/>
      <c r="LLA476" s="54"/>
      <c r="LLB476" s="54"/>
      <c r="LLC476" s="54"/>
      <c r="LLD476" s="54"/>
      <c r="LLE476" s="54"/>
      <c r="LLF476" s="54"/>
      <c r="LLG476" s="54"/>
      <c r="LLH476" s="54"/>
      <c r="LLI476" s="54"/>
      <c r="LLJ476" s="54"/>
      <c r="LLK476" s="54"/>
      <c r="LLL476" s="54"/>
      <c r="LLM476" s="54"/>
      <c r="LLN476" s="54"/>
      <c r="LLO476" s="54"/>
      <c r="LLP476" s="54"/>
      <c r="LLQ476" s="54"/>
      <c r="LLR476" s="54"/>
      <c r="LLS476" s="54"/>
      <c r="LLT476" s="54"/>
      <c r="LLU476" s="54"/>
      <c r="LLV476" s="54"/>
      <c r="LLW476" s="54"/>
      <c r="LLX476" s="54"/>
      <c r="LLY476" s="54"/>
      <c r="LLZ476" s="54"/>
      <c r="LMA476" s="54"/>
      <c r="LMB476" s="54"/>
      <c r="LMC476" s="54"/>
      <c r="LMD476" s="54"/>
      <c r="LME476" s="54"/>
      <c r="LMF476" s="54"/>
      <c r="LMG476" s="54"/>
      <c r="LMH476" s="54"/>
      <c r="LMI476" s="54"/>
      <c r="LMJ476" s="54"/>
      <c r="LMK476" s="54"/>
      <c r="LML476" s="54"/>
      <c r="LMM476" s="54"/>
      <c r="LMN476" s="54"/>
      <c r="LMO476" s="54"/>
      <c r="LMP476" s="54"/>
      <c r="LMQ476" s="54"/>
      <c r="LMR476" s="54"/>
      <c r="LMS476" s="54"/>
      <c r="LMT476" s="54"/>
      <c r="LMU476" s="54"/>
      <c r="LMV476" s="54"/>
      <c r="LMW476" s="54"/>
      <c r="LMX476" s="54"/>
      <c r="LMY476" s="54"/>
      <c r="LMZ476" s="54"/>
      <c r="LNA476" s="54"/>
      <c r="LNB476" s="54"/>
      <c r="LNC476" s="54"/>
      <c r="LND476" s="54"/>
      <c r="LNE476" s="54"/>
      <c r="LNF476" s="54"/>
      <c r="LNG476" s="54"/>
      <c r="LNH476" s="54"/>
      <c r="LNI476" s="54"/>
      <c r="LNJ476" s="54"/>
      <c r="LNK476" s="54"/>
      <c r="LNL476" s="54"/>
      <c r="LNM476" s="54"/>
      <c r="LNN476" s="54"/>
      <c r="LNO476" s="54"/>
      <c r="LNP476" s="54"/>
      <c r="LNQ476" s="54"/>
      <c r="LNR476" s="54"/>
      <c r="LNS476" s="54"/>
      <c r="LNT476" s="54"/>
      <c r="LNU476" s="54"/>
      <c r="LNV476" s="54"/>
      <c r="LNW476" s="54"/>
      <c r="LNX476" s="54"/>
      <c r="LNY476" s="54"/>
      <c r="LNZ476" s="54"/>
      <c r="LOA476" s="54"/>
      <c r="LOB476" s="54"/>
      <c r="LOC476" s="54"/>
      <c r="LOD476" s="54"/>
      <c r="LOE476" s="54"/>
      <c r="LOF476" s="54"/>
      <c r="LOG476" s="54"/>
      <c r="LOH476" s="54"/>
      <c r="LOI476" s="54"/>
      <c r="LOJ476" s="54"/>
      <c r="LOK476" s="54"/>
      <c r="LOL476" s="54"/>
      <c r="LOM476" s="54"/>
      <c r="LON476" s="54"/>
      <c r="LOO476" s="54"/>
      <c r="LOP476" s="54"/>
      <c r="LOQ476" s="54"/>
      <c r="LOR476" s="54"/>
      <c r="LOS476" s="54"/>
      <c r="LOT476" s="54"/>
      <c r="LOU476" s="54"/>
      <c r="LOV476" s="54"/>
      <c r="LOW476" s="54"/>
      <c r="LOX476" s="54"/>
      <c r="LOY476" s="54"/>
      <c r="LOZ476" s="54"/>
      <c r="LPA476" s="54"/>
      <c r="LPB476" s="54"/>
      <c r="LPC476" s="54"/>
      <c r="LPD476" s="54"/>
      <c r="LPE476" s="54"/>
      <c r="LPF476" s="54"/>
      <c r="LPG476" s="54"/>
      <c r="LPH476" s="54"/>
      <c r="LPI476" s="54"/>
      <c r="LPJ476" s="54"/>
      <c r="LPK476" s="54"/>
      <c r="LPL476" s="54"/>
      <c r="LPM476" s="54"/>
      <c r="LPN476" s="54"/>
      <c r="LPO476" s="54"/>
      <c r="LPP476" s="54"/>
      <c r="LPQ476" s="54"/>
      <c r="LPR476" s="54"/>
      <c r="LPS476" s="54"/>
      <c r="LPT476" s="54"/>
      <c r="LPU476" s="54"/>
      <c r="LPV476" s="54"/>
      <c r="LPW476" s="54"/>
      <c r="LPX476" s="54"/>
      <c r="LPY476" s="54"/>
      <c r="LPZ476" s="54"/>
      <c r="LQA476" s="54"/>
      <c r="LQB476" s="54"/>
      <c r="LQC476" s="54"/>
      <c r="LQD476" s="54"/>
      <c r="LQE476" s="54"/>
      <c r="LQF476" s="54"/>
      <c r="LQG476" s="54"/>
      <c r="LQH476" s="54"/>
      <c r="LQI476" s="54"/>
      <c r="LQJ476" s="54"/>
      <c r="LQK476" s="54"/>
      <c r="LQL476" s="54"/>
      <c r="LQM476" s="54"/>
      <c r="LQN476" s="54"/>
      <c r="LQO476" s="54"/>
      <c r="LQP476" s="54"/>
      <c r="LQQ476" s="54"/>
      <c r="LQR476" s="54"/>
      <c r="LQS476" s="54"/>
      <c r="LQT476" s="54"/>
      <c r="LQU476" s="54"/>
      <c r="LQV476" s="54"/>
      <c r="LQW476" s="54"/>
      <c r="LQX476" s="54"/>
      <c r="LQY476" s="54"/>
      <c r="LQZ476" s="54"/>
      <c r="LRA476" s="54"/>
      <c r="LRB476" s="54"/>
      <c r="LRC476" s="54"/>
      <c r="LRD476" s="54"/>
      <c r="LRE476" s="54"/>
      <c r="LRF476" s="54"/>
      <c r="LRG476" s="54"/>
      <c r="LRH476" s="54"/>
      <c r="LRI476" s="54"/>
      <c r="LRJ476" s="54"/>
      <c r="LRK476" s="54"/>
      <c r="LRL476" s="54"/>
      <c r="LRM476" s="54"/>
      <c r="LRN476" s="54"/>
      <c r="LRO476" s="54"/>
      <c r="LRP476" s="54"/>
      <c r="LRQ476" s="54"/>
      <c r="LRR476" s="54"/>
      <c r="LRS476" s="54"/>
      <c r="LRT476" s="54"/>
      <c r="LRU476" s="54"/>
      <c r="LRV476" s="54"/>
      <c r="LRW476" s="54"/>
      <c r="LRX476" s="54"/>
      <c r="LRY476" s="54"/>
      <c r="LRZ476" s="54"/>
      <c r="LSA476" s="54"/>
      <c r="LSB476" s="54"/>
      <c r="LSC476" s="54"/>
      <c r="LSD476" s="54"/>
      <c r="LSE476" s="54"/>
      <c r="LSF476" s="54"/>
      <c r="LSG476" s="54"/>
      <c r="LSH476" s="54"/>
      <c r="LSI476" s="54"/>
      <c r="LSJ476" s="54"/>
      <c r="LSK476" s="54"/>
      <c r="LSL476" s="54"/>
      <c r="LSM476" s="54"/>
      <c r="LSN476" s="54"/>
      <c r="LSO476" s="54"/>
      <c r="LSP476" s="54"/>
      <c r="LSQ476" s="54"/>
      <c r="LSR476" s="54"/>
      <c r="LSS476" s="54"/>
      <c r="LST476" s="54"/>
      <c r="LSU476" s="54"/>
      <c r="LSV476" s="54"/>
      <c r="LSW476" s="54"/>
      <c r="LSX476" s="54"/>
      <c r="LSY476" s="54"/>
      <c r="LSZ476" s="54"/>
      <c r="LTA476" s="54"/>
      <c r="LTB476" s="54"/>
      <c r="LTC476" s="54"/>
      <c r="LTD476" s="54"/>
      <c r="LTE476" s="54"/>
      <c r="LTF476" s="54"/>
      <c r="LTG476" s="54"/>
      <c r="LTH476" s="54"/>
      <c r="LTI476" s="54"/>
      <c r="LTJ476" s="54"/>
      <c r="LTK476" s="54"/>
      <c r="LTL476" s="54"/>
      <c r="LTM476" s="54"/>
      <c r="LTN476" s="54"/>
      <c r="LTO476" s="54"/>
      <c r="LTP476" s="54"/>
      <c r="LTQ476" s="54"/>
      <c r="LTR476" s="54"/>
      <c r="LTS476" s="54"/>
      <c r="LTT476" s="54"/>
      <c r="LTU476" s="54"/>
      <c r="LTV476" s="54"/>
      <c r="LTW476" s="54"/>
      <c r="LTX476" s="54"/>
      <c r="LTY476" s="54"/>
      <c r="LTZ476" s="54"/>
      <c r="LUA476" s="54"/>
      <c r="LUB476" s="54"/>
      <c r="LUC476" s="54"/>
      <c r="LUD476" s="54"/>
      <c r="LUE476" s="54"/>
      <c r="LUF476" s="54"/>
      <c r="LUG476" s="54"/>
      <c r="LUH476" s="54"/>
      <c r="LUI476" s="54"/>
      <c r="LUJ476" s="54"/>
      <c r="LUK476" s="54"/>
      <c r="LUL476" s="54"/>
      <c r="LUM476" s="54"/>
      <c r="LUN476" s="54"/>
      <c r="LUO476" s="54"/>
      <c r="LUP476" s="54"/>
      <c r="LUQ476" s="54"/>
      <c r="LUR476" s="54"/>
      <c r="LUS476" s="54"/>
      <c r="LUT476" s="54"/>
      <c r="LUU476" s="54"/>
      <c r="LUV476" s="54"/>
      <c r="LUW476" s="54"/>
      <c r="LUX476" s="54"/>
      <c r="LUY476" s="54"/>
      <c r="LUZ476" s="54"/>
      <c r="LVA476" s="54"/>
      <c r="LVB476" s="54"/>
      <c r="LVC476" s="54"/>
      <c r="LVD476" s="54"/>
      <c r="LVE476" s="54"/>
      <c r="LVF476" s="54"/>
      <c r="LVG476" s="54"/>
      <c r="LVH476" s="54"/>
      <c r="LVI476" s="54"/>
      <c r="LVJ476" s="54"/>
      <c r="LVK476" s="54"/>
      <c r="LVL476" s="54"/>
      <c r="LVM476" s="54"/>
      <c r="LVN476" s="54"/>
      <c r="LVO476" s="54"/>
      <c r="LVP476" s="54"/>
      <c r="LVQ476" s="54"/>
      <c r="LVR476" s="54"/>
      <c r="LVS476" s="54"/>
      <c r="LVT476" s="54"/>
      <c r="LVU476" s="54"/>
      <c r="LVV476" s="54"/>
      <c r="LVW476" s="54"/>
      <c r="LVX476" s="54"/>
      <c r="LVY476" s="54"/>
      <c r="LVZ476" s="54"/>
      <c r="LWA476" s="54"/>
      <c r="LWB476" s="54"/>
      <c r="LWC476" s="54"/>
      <c r="LWD476" s="54"/>
      <c r="LWE476" s="54"/>
      <c r="LWF476" s="54"/>
      <c r="LWG476" s="54"/>
      <c r="LWH476" s="54"/>
      <c r="LWI476" s="54"/>
      <c r="LWJ476" s="54"/>
      <c r="LWK476" s="54"/>
      <c r="LWL476" s="54"/>
      <c r="LWM476" s="54"/>
      <c r="LWN476" s="54"/>
      <c r="LWO476" s="54"/>
      <c r="LWP476" s="54"/>
      <c r="LWQ476" s="54"/>
      <c r="LWR476" s="54"/>
      <c r="LWS476" s="54"/>
      <c r="LWT476" s="54"/>
      <c r="LWU476" s="54"/>
      <c r="LWV476" s="54"/>
      <c r="LWW476" s="54"/>
      <c r="LWX476" s="54"/>
      <c r="LWY476" s="54"/>
      <c r="LWZ476" s="54"/>
      <c r="LXA476" s="54"/>
      <c r="LXB476" s="54"/>
      <c r="LXC476" s="54"/>
      <c r="LXD476" s="54"/>
      <c r="LXE476" s="54"/>
      <c r="LXF476" s="54"/>
      <c r="LXG476" s="54"/>
      <c r="LXH476" s="54"/>
      <c r="LXI476" s="54"/>
      <c r="LXJ476" s="54"/>
      <c r="LXK476" s="54"/>
      <c r="LXL476" s="54"/>
      <c r="LXM476" s="54"/>
      <c r="LXN476" s="54"/>
      <c r="LXO476" s="54"/>
      <c r="LXP476" s="54"/>
      <c r="LXQ476" s="54"/>
      <c r="LXR476" s="54"/>
      <c r="LXS476" s="54"/>
      <c r="LXT476" s="54"/>
      <c r="LXU476" s="54"/>
      <c r="LXV476" s="54"/>
      <c r="LXW476" s="54"/>
      <c r="LXX476" s="54"/>
      <c r="LXY476" s="54"/>
      <c r="LXZ476" s="54"/>
      <c r="LYA476" s="54"/>
      <c r="LYB476" s="54"/>
      <c r="LYC476" s="54"/>
      <c r="LYD476" s="54"/>
      <c r="LYE476" s="54"/>
      <c r="LYF476" s="54"/>
      <c r="LYG476" s="54"/>
      <c r="LYH476" s="54"/>
      <c r="LYI476" s="54"/>
      <c r="LYJ476" s="54"/>
      <c r="LYK476" s="54"/>
      <c r="LYL476" s="54"/>
      <c r="LYM476" s="54"/>
      <c r="LYN476" s="54"/>
      <c r="LYO476" s="54"/>
      <c r="LYP476" s="54"/>
      <c r="LYQ476" s="54"/>
      <c r="LYR476" s="54"/>
      <c r="LYS476" s="54"/>
      <c r="LYT476" s="54"/>
      <c r="LYU476" s="54"/>
      <c r="LYV476" s="54"/>
      <c r="LYW476" s="54"/>
      <c r="LYX476" s="54"/>
      <c r="LYY476" s="54"/>
      <c r="LYZ476" s="54"/>
      <c r="LZA476" s="54"/>
      <c r="LZB476" s="54"/>
      <c r="LZC476" s="54"/>
      <c r="LZD476" s="54"/>
      <c r="LZE476" s="54"/>
      <c r="LZF476" s="54"/>
      <c r="LZG476" s="54"/>
      <c r="LZH476" s="54"/>
      <c r="LZI476" s="54"/>
      <c r="LZJ476" s="54"/>
      <c r="LZK476" s="54"/>
      <c r="LZL476" s="54"/>
      <c r="LZM476" s="54"/>
      <c r="LZN476" s="54"/>
      <c r="LZO476" s="54"/>
      <c r="LZP476" s="54"/>
      <c r="LZQ476" s="54"/>
      <c r="LZR476" s="54"/>
      <c r="LZS476" s="54"/>
      <c r="LZT476" s="54"/>
      <c r="LZU476" s="54"/>
      <c r="LZV476" s="54"/>
      <c r="LZW476" s="54"/>
      <c r="LZX476" s="54"/>
      <c r="LZY476" s="54"/>
      <c r="LZZ476" s="54"/>
      <c r="MAA476" s="54"/>
      <c r="MAB476" s="54"/>
      <c r="MAC476" s="54"/>
      <c r="MAD476" s="54"/>
      <c r="MAE476" s="54"/>
      <c r="MAF476" s="54"/>
      <c r="MAG476" s="54"/>
      <c r="MAH476" s="54"/>
      <c r="MAI476" s="54"/>
      <c r="MAJ476" s="54"/>
      <c r="MAK476" s="54"/>
      <c r="MAL476" s="54"/>
      <c r="MAM476" s="54"/>
      <c r="MAN476" s="54"/>
      <c r="MAO476" s="54"/>
      <c r="MAP476" s="54"/>
      <c r="MAQ476" s="54"/>
      <c r="MAR476" s="54"/>
      <c r="MAS476" s="54"/>
      <c r="MAT476" s="54"/>
      <c r="MAU476" s="54"/>
      <c r="MAV476" s="54"/>
      <c r="MAW476" s="54"/>
      <c r="MAX476" s="54"/>
      <c r="MAY476" s="54"/>
      <c r="MAZ476" s="54"/>
      <c r="MBA476" s="54"/>
      <c r="MBB476" s="54"/>
      <c r="MBC476" s="54"/>
      <c r="MBD476" s="54"/>
      <c r="MBE476" s="54"/>
      <c r="MBF476" s="54"/>
      <c r="MBG476" s="54"/>
      <c r="MBH476" s="54"/>
      <c r="MBI476" s="54"/>
      <c r="MBJ476" s="54"/>
      <c r="MBK476" s="54"/>
      <c r="MBL476" s="54"/>
      <c r="MBM476" s="54"/>
      <c r="MBN476" s="54"/>
      <c r="MBO476" s="54"/>
      <c r="MBP476" s="54"/>
      <c r="MBQ476" s="54"/>
      <c r="MBR476" s="54"/>
      <c r="MBS476" s="54"/>
      <c r="MBT476" s="54"/>
      <c r="MBU476" s="54"/>
      <c r="MBV476" s="54"/>
      <c r="MBW476" s="54"/>
      <c r="MBX476" s="54"/>
      <c r="MBY476" s="54"/>
      <c r="MBZ476" s="54"/>
      <c r="MCA476" s="54"/>
      <c r="MCB476" s="54"/>
      <c r="MCC476" s="54"/>
      <c r="MCD476" s="54"/>
      <c r="MCE476" s="54"/>
      <c r="MCF476" s="54"/>
      <c r="MCG476" s="54"/>
      <c r="MCH476" s="54"/>
      <c r="MCI476" s="54"/>
      <c r="MCJ476" s="54"/>
      <c r="MCK476" s="54"/>
      <c r="MCL476" s="54"/>
      <c r="MCM476" s="54"/>
      <c r="MCN476" s="54"/>
      <c r="MCO476" s="54"/>
      <c r="MCP476" s="54"/>
      <c r="MCQ476" s="54"/>
      <c r="MCR476" s="54"/>
      <c r="MCS476" s="54"/>
      <c r="MCT476" s="54"/>
      <c r="MCU476" s="54"/>
      <c r="MCV476" s="54"/>
      <c r="MCW476" s="54"/>
      <c r="MCX476" s="54"/>
      <c r="MCY476" s="54"/>
      <c r="MCZ476" s="54"/>
      <c r="MDA476" s="54"/>
      <c r="MDB476" s="54"/>
      <c r="MDC476" s="54"/>
      <c r="MDD476" s="54"/>
      <c r="MDE476" s="54"/>
      <c r="MDF476" s="54"/>
      <c r="MDG476" s="54"/>
      <c r="MDH476" s="54"/>
      <c r="MDI476" s="54"/>
      <c r="MDJ476" s="54"/>
      <c r="MDK476" s="54"/>
      <c r="MDL476" s="54"/>
      <c r="MDM476" s="54"/>
      <c r="MDN476" s="54"/>
      <c r="MDO476" s="54"/>
      <c r="MDP476" s="54"/>
      <c r="MDQ476" s="54"/>
      <c r="MDR476" s="54"/>
      <c r="MDS476" s="54"/>
      <c r="MDT476" s="54"/>
      <c r="MDU476" s="54"/>
      <c r="MDV476" s="54"/>
      <c r="MDW476" s="54"/>
      <c r="MDX476" s="54"/>
      <c r="MDY476" s="54"/>
      <c r="MDZ476" s="54"/>
      <c r="MEA476" s="54"/>
      <c r="MEB476" s="54"/>
      <c r="MEC476" s="54"/>
      <c r="MED476" s="54"/>
      <c r="MEE476" s="54"/>
      <c r="MEF476" s="54"/>
      <c r="MEG476" s="54"/>
      <c r="MEH476" s="54"/>
      <c r="MEI476" s="54"/>
      <c r="MEJ476" s="54"/>
      <c r="MEK476" s="54"/>
      <c r="MEL476" s="54"/>
      <c r="MEM476" s="54"/>
      <c r="MEN476" s="54"/>
      <c r="MEO476" s="54"/>
      <c r="MEP476" s="54"/>
      <c r="MEQ476" s="54"/>
      <c r="MER476" s="54"/>
      <c r="MES476" s="54"/>
      <c r="MET476" s="54"/>
      <c r="MEU476" s="54"/>
      <c r="MEV476" s="54"/>
      <c r="MEW476" s="54"/>
      <c r="MEX476" s="54"/>
      <c r="MEY476" s="54"/>
      <c r="MEZ476" s="54"/>
      <c r="MFA476" s="54"/>
      <c r="MFB476" s="54"/>
      <c r="MFC476" s="54"/>
      <c r="MFD476" s="54"/>
      <c r="MFE476" s="54"/>
      <c r="MFF476" s="54"/>
      <c r="MFG476" s="54"/>
      <c r="MFH476" s="54"/>
      <c r="MFI476" s="54"/>
      <c r="MFJ476" s="54"/>
      <c r="MFK476" s="54"/>
      <c r="MFL476" s="54"/>
      <c r="MFM476" s="54"/>
      <c r="MFN476" s="54"/>
      <c r="MFO476" s="54"/>
      <c r="MFP476" s="54"/>
      <c r="MFQ476" s="54"/>
      <c r="MFR476" s="54"/>
      <c r="MFS476" s="54"/>
      <c r="MFT476" s="54"/>
      <c r="MFU476" s="54"/>
      <c r="MFV476" s="54"/>
      <c r="MFW476" s="54"/>
      <c r="MFX476" s="54"/>
      <c r="MFY476" s="54"/>
      <c r="MFZ476" s="54"/>
      <c r="MGA476" s="54"/>
      <c r="MGB476" s="54"/>
      <c r="MGC476" s="54"/>
      <c r="MGD476" s="54"/>
      <c r="MGE476" s="54"/>
      <c r="MGF476" s="54"/>
      <c r="MGG476" s="54"/>
      <c r="MGH476" s="54"/>
      <c r="MGI476" s="54"/>
      <c r="MGJ476" s="54"/>
      <c r="MGK476" s="54"/>
      <c r="MGL476" s="54"/>
      <c r="MGM476" s="54"/>
      <c r="MGN476" s="54"/>
      <c r="MGO476" s="54"/>
      <c r="MGP476" s="54"/>
      <c r="MGQ476" s="54"/>
      <c r="MGR476" s="54"/>
      <c r="MGS476" s="54"/>
      <c r="MGT476" s="54"/>
      <c r="MGU476" s="54"/>
      <c r="MGV476" s="54"/>
      <c r="MGW476" s="54"/>
      <c r="MGX476" s="54"/>
      <c r="MGY476" s="54"/>
      <c r="MGZ476" s="54"/>
      <c r="MHA476" s="54"/>
      <c r="MHB476" s="54"/>
      <c r="MHC476" s="54"/>
      <c r="MHD476" s="54"/>
      <c r="MHE476" s="54"/>
      <c r="MHF476" s="54"/>
      <c r="MHG476" s="54"/>
      <c r="MHH476" s="54"/>
      <c r="MHI476" s="54"/>
      <c r="MHJ476" s="54"/>
      <c r="MHK476" s="54"/>
      <c r="MHL476" s="54"/>
      <c r="MHM476" s="54"/>
      <c r="MHN476" s="54"/>
      <c r="MHO476" s="54"/>
      <c r="MHP476" s="54"/>
      <c r="MHQ476" s="54"/>
      <c r="MHR476" s="54"/>
      <c r="MHS476" s="54"/>
      <c r="MHT476" s="54"/>
      <c r="MHU476" s="54"/>
      <c r="MHV476" s="54"/>
      <c r="MHW476" s="54"/>
      <c r="MHX476" s="54"/>
      <c r="MHY476" s="54"/>
      <c r="MHZ476" s="54"/>
      <c r="MIA476" s="54"/>
      <c r="MIB476" s="54"/>
      <c r="MIC476" s="54"/>
      <c r="MID476" s="54"/>
      <c r="MIE476" s="54"/>
      <c r="MIF476" s="54"/>
      <c r="MIG476" s="54"/>
      <c r="MIH476" s="54"/>
      <c r="MII476" s="54"/>
      <c r="MIJ476" s="54"/>
      <c r="MIK476" s="54"/>
      <c r="MIL476" s="54"/>
      <c r="MIM476" s="54"/>
      <c r="MIN476" s="54"/>
      <c r="MIO476" s="54"/>
      <c r="MIP476" s="54"/>
      <c r="MIQ476" s="54"/>
      <c r="MIR476" s="54"/>
      <c r="MIS476" s="54"/>
      <c r="MIT476" s="54"/>
      <c r="MIU476" s="54"/>
      <c r="MIV476" s="54"/>
      <c r="MIW476" s="54"/>
      <c r="MIX476" s="54"/>
      <c r="MIY476" s="54"/>
      <c r="MIZ476" s="54"/>
      <c r="MJA476" s="54"/>
      <c r="MJB476" s="54"/>
      <c r="MJC476" s="54"/>
      <c r="MJD476" s="54"/>
      <c r="MJE476" s="54"/>
      <c r="MJF476" s="54"/>
      <c r="MJG476" s="54"/>
      <c r="MJH476" s="54"/>
      <c r="MJI476" s="54"/>
      <c r="MJJ476" s="54"/>
      <c r="MJK476" s="54"/>
      <c r="MJL476" s="54"/>
      <c r="MJM476" s="54"/>
      <c r="MJN476" s="54"/>
      <c r="MJO476" s="54"/>
      <c r="MJP476" s="54"/>
      <c r="MJQ476" s="54"/>
      <c r="MJR476" s="54"/>
      <c r="MJS476" s="54"/>
      <c r="MJT476" s="54"/>
      <c r="MJU476" s="54"/>
      <c r="MJV476" s="54"/>
      <c r="MJW476" s="54"/>
      <c r="MJX476" s="54"/>
      <c r="MJY476" s="54"/>
      <c r="MJZ476" s="54"/>
      <c r="MKA476" s="54"/>
      <c r="MKB476" s="54"/>
      <c r="MKC476" s="54"/>
      <c r="MKD476" s="54"/>
      <c r="MKE476" s="54"/>
      <c r="MKF476" s="54"/>
      <c r="MKG476" s="54"/>
      <c r="MKH476" s="54"/>
      <c r="MKI476" s="54"/>
      <c r="MKJ476" s="54"/>
      <c r="MKK476" s="54"/>
      <c r="MKL476" s="54"/>
      <c r="MKM476" s="54"/>
      <c r="MKN476" s="54"/>
      <c r="MKO476" s="54"/>
      <c r="MKP476" s="54"/>
      <c r="MKQ476" s="54"/>
      <c r="MKR476" s="54"/>
      <c r="MKS476" s="54"/>
      <c r="MKT476" s="54"/>
      <c r="MKU476" s="54"/>
      <c r="MKV476" s="54"/>
      <c r="MKW476" s="54"/>
      <c r="MKX476" s="54"/>
      <c r="MKY476" s="54"/>
      <c r="MKZ476" s="54"/>
      <c r="MLA476" s="54"/>
      <c r="MLB476" s="54"/>
      <c r="MLC476" s="54"/>
      <c r="MLD476" s="54"/>
      <c r="MLE476" s="54"/>
      <c r="MLF476" s="54"/>
      <c r="MLG476" s="54"/>
      <c r="MLH476" s="54"/>
      <c r="MLI476" s="54"/>
      <c r="MLJ476" s="54"/>
      <c r="MLK476" s="54"/>
      <c r="MLL476" s="54"/>
      <c r="MLM476" s="54"/>
      <c r="MLN476" s="54"/>
      <c r="MLO476" s="54"/>
      <c r="MLP476" s="54"/>
      <c r="MLQ476" s="54"/>
      <c r="MLR476" s="54"/>
      <c r="MLS476" s="54"/>
      <c r="MLT476" s="54"/>
      <c r="MLU476" s="54"/>
      <c r="MLV476" s="54"/>
      <c r="MLW476" s="54"/>
      <c r="MLX476" s="54"/>
      <c r="MLY476" s="54"/>
      <c r="MLZ476" s="54"/>
      <c r="MMA476" s="54"/>
      <c r="MMB476" s="54"/>
      <c r="MMC476" s="54"/>
      <c r="MMD476" s="54"/>
      <c r="MME476" s="54"/>
      <c r="MMF476" s="54"/>
      <c r="MMG476" s="54"/>
      <c r="MMH476" s="54"/>
      <c r="MMI476" s="54"/>
      <c r="MMJ476" s="54"/>
      <c r="MMK476" s="54"/>
      <c r="MML476" s="54"/>
      <c r="MMM476" s="54"/>
      <c r="MMN476" s="54"/>
      <c r="MMO476" s="54"/>
      <c r="MMP476" s="54"/>
      <c r="MMQ476" s="54"/>
      <c r="MMR476" s="54"/>
      <c r="MMS476" s="54"/>
      <c r="MMT476" s="54"/>
      <c r="MMU476" s="54"/>
      <c r="MMV476" s="54"/>
      <c r="MMW476" s="54"/>
      <c r="MMX476" s="54"/>
      <c r="MMY476" s="54"/>
      <c r="MMZ476" s="54"/>
      <c r="MNA476" s="54"/>
      <c r="MNB476" s="54"/>
      <c r="MNC476" s="54"/>
      <c r="MND476" s="54"/>
      <c r="MNE476" s="54"/>
      <c r="MNF476" s="54"/>
      <c r="MNG476" s="54"/>
      <c r="MNH476" s="54"/>
      <c r="MNI476" s="54"/>
      <c r="MNJ476" s="54"/>
      <c r="MNK476" s="54"/>
      <c r="MNL476" s="54"/>
      <c r="MNM476" s="54"/>
      <c r="MNN476" s="54"/>
      <c r="MNO476" s="54"/>
      <c r="MNP476" s="54"/>
      <c r="MNQ476" s="54"/>
      <c r="MNR476" s="54"/>
      <c r="MNS476" s="54"/>
      <c r="MNT476" s="54"/>
      <c r="MNU476" s="54"/>
      <c r="MNV476" s="54"/>
      <c r="MNW476" s="54"/>
      <c r="MNX476" s="54"/>
      <c r="MNY476" s="54"/>
      <c r="MNZ476" s="54"/>
      <c r="MOA476" s="54"/>
      <c r="MOB476" s="54"/>
      <c r="MOC476" s="54"/>
      <c r="MOD476" s="54"/>
      <c r="MOE476" s="54"/>
      <c r="MOF476" s="54"/>
      <c r="MOG476" s="54"/>
      <c r="MOH476" s="54"/>
      <c r="MOI476" s="54"/>
      <c r="MOJ476" s="54"/>
      <c r="MOK476" s="54"/>
      <c r="MOL476" s="54"/>
      <c r="MOM476" s="54"/>
      <c r="MON476" s="54"/>
      <c r="MOO476" s="54"/>
      <c r="MOP476" s="54"/>
      <c r="MOQ476" s="54"/>
      <c r="MOR476" s="54"/>
      <c r="MOS476" s="54"/>
      <c r="MOT476" s="54"/>
      <c r="MOU476" s="54"/>
      <c r="MOV476" s="54"/>
      <c r="MOW476" s="54"/>
      <c r="MOX476" s="54"/>
      <c r="MOY476" s="54"/>
      <c r="MOZ476" s="54"/>
      <c r="MPA476" s="54"/>
      <c r="MPB476" s="54"/>
      <c r="MPC476" s="54"/>
      <c r="MPD476" s="54"/>
      <c r="MPE476" s="54"/>
      <c r="MPF476" s="54"/>
      <c r="MPG476" s="54"/>
      <c r="MPH476" s="54"/>
      <c r="MPI476" s="54"/>
      <c r="MPJ476" s="54"/>
      <c r="MPK476" s="54"/>
      <c r="MPL476" s="54"/>
      <c r="MPM476" s="54"/>
      <c r="MPN476" s="54"/>
      <c r="MPO476" s="54"/>
      <c r="MPP476" s="54"/>
      <c r="MPQ476" s="54"/>
      <c r="MPR476" s="54"/>
      <c r="MPS476" s="54"/>
      <c r="MPT476" s="54"/>
      <c r="MPU476" s="54"/>
      <c r="MPV476" s="54"/>
      <c r="MPW476" s="54"/>
      <c r="MPX476" s="54"/>
      <c r="MPY476" s="54"/>
      <c r="MPZ476" s="54"/>
      <c r="MQA476" s="54"/>
      <c r="MQB476" s="54"/>
      <c r="MQC476" s="54"/>
      <c r="MQD476" s="54"/>
      <c r="MQE476" s="54"/>
      <c r="MQF476" s="54"/>
      <c r="MQG476" s="54"/>
      <c r="MQH476" s="54"/>
      <c r="MQI476" s="54"/>
      <c r="MQJ476" s="54"/>
      <c r="MQK476" s="54"/>
      <c r="MQL476" s="54"/>
      <c r="MQM476" s="54"/>
      <c r="MQN476" s="54"/>
      <c r="MQO476" s="54"/>
      <c r="MQP476" s="54"/>
      <c r="MQQ476" s="54"/>
      <c r="MQR476" s="54"/>
      <c r="MQS476" s="54"/>
      <c r="MQT476" s="54"/>
      <c r="MQU476" s="54"/>
      <c r="MQV476" s="54"/>
      <c r="MQW476" s="54"/>
      <c r="MQX476" s="54"/>
      <c r="MQY476" s="54"/>
      <c r="MQZ476" s="54"/>
      <c r="MRA476" s="54"/>
      <c r="MRB476" s="54"/>
      <c r="MRC476" s="54"/>
      <c r="MRD476" s="54"/>
      <c r="MRE476" s="54"/>
      <c r="MRF476" s="54"/>
      <c r="MRG476" s="54"/>
      <c r="MRH476" s="54"/>
      <c r="MRI476" s="54"/>
      <c r="MRJ476" s="54"/>
      <c r="MRK476" s="54"/>
      <c r="MRL476" s="54"/>
      <c r="MRM476" s="54"/>
      <c r="MRN476" s="54"/>
      <c r="MRO476" s="54"/>
      <c r="MRP476" s="54"/>
      <c r="MRQ476" s="54"/>
      <c r="MRR476" s="54"/>
      <c r="MRS476" s="54"/>
      <c r="MRT476" s="54"/>
      <c r="MRU476" s="54"/>
      <c r="MRV476" s="54"/>
      <c r="MRW476" s="54"/>
      <c r="MRX476" s="54"/>
      <c r="MRY476" s="54"/>
      <c r="MRZ476" s="54"/>
      <c r="MSA476" s="54"/>
      <c r="MSB476" s="54"/>
      <c r="MSC476" s="54"/>
      <c r="MSD476" s="54"/>
      <c r="MSE476" s="54"/>
      <c r="MSF476" s="54"/>
      <c r="MSG476" s="54"/>
      <c r="MSH476" s="54"/>
      <c r="MSI476" s="54"/>
      <c r="MSJ476" s="54"/>
      <c r="MSK476" s="54"/>
      <c r="MSL476" s="54"/>
      <c r="MSM476" s="54"/>
      <c r="MSN476" s="54"/>
      <c r="MSO476" s="54"/>
      <c r="MSP476" s="54"/>
      <c r="MSQ476" s="54"/>
      <c r="MSR476" s="54"/>
      <c r="MSS476" s="54"/>
      <c r="MST476" s="54"/>
      <c r="MSU476" s="54"/>
      <c r="MSV476" s="54"/>
      <c r="MSW476" s="54"/>
      <c r="MSX476" s="54"/>
      <c r="MSY476" s="54"/>
      <c r="MSZ476" s="54"/>
      <c r="MTA476" s="54"/>
      <c r="MTB476" s="54"/>
      <c r="MTC476" s="54"/>
      <c r="MTD476" s="54"/>
      <c r="MTE476" s="54"/>
      <c r="MTF476" s="54"/>
      <c r="MTG476" s="54"/>
      <c r="MTH476" s="54"/>
      <c r="MTI476" s="54"/>
      <c r="MTJ476" s="54"/>
      <c r="MTK476" s="54"/>
      <c r="MTL476" s="54"/>
      <c r="MTM476" s="54"/>
      <c r="MTN476" s="54"/>
      <c r="MTO476" s="54"/>
      <c r="MTP476" s="54"/>
      <c r="MTQ476" s="54"/>
      <c r="MTR476" s="54"/>
      <c r="MTS476" s="54"/>
      <c r="MTT476" s="54"/>
      <c r="MTU476" s="54"/>
      <c r="MTV476" s="54"/>
      <c r="MTW476" s="54"/>
      <c r="MTX476" s="54"/>
      <c r="MTY476" s="54"/>
      <c r="MTZ476" s="54"/>
      <c r="MUA476" s="54"/>
      <c r="MUB476" s="54"/>
      <c r="MUC476" s="54"/>
      <c r="MUD476" s="54"/>
      <c r="MUE476" s="54"/>
      <c r="MUF476" s="54"/>
      <c r="MUG476" s="54"/>
      <c r="MUH476" s="54"/>
      <c r="MUI476" s="54"/>
      <c r="MUJ476" s="54"/>
      <c r="MUK476" s="54"/>
      <c r="MUL476" s="54"/>
      <c r="MUM476" s="54"/>
      <c r="MUN476" s="54"/>
      <c r="MUO476" s="54"/>
      <c r="MUP476" s="54"/>
      <c r="MUQ476" s="54"/>
      <c r="MUR476" s="54"/>
      <c r="MUS476" s="54"/>
      <c r="MUT476" s="54"/>
      <c r="MUU476" s="54"/>
      <c r="MUV476" s="54"/>
      <c r="MUW476" s="54"/>
      <c r="MUX476" s="54"/>
      <c r="MUY476" s="54"/>
      <c r="MUZ476" s="54"/>
      <c r="MVA476" s="54"/>
      <c r="MVB476" s="54"/>
      <c r="MVC476" s="54"/>
      <c r="MVD476" s="54"/>
      <c r="MVE476" s="54"/>
      <c r="MVF476" s="54"/>
      <c r="MVG476" s="54"/>
      <c r="MVH476" s="54"/>
      <c r="MVI476" s="54"/>
      <c r="MVJ476" s="54"/>
      <c r="MVK476" s="54"/>
      <c r="MVL476" s="54"/>
      <c r="MVM476" s="54"/>
      <c r="MVN476" s="54"/>
      <c r="MVO476" s="54"/>
      <c r="MVP476" s="54"/>
      <c r="MVQ476" s="54"/>
      <c r="MVR476" s="54"/>
      <c r="MVS476" s="54"/>
      <c r="MVT476" s="54"/>
      <c r="MVU476" s="54"/>
      <c r="MVV476" s="54"/>
      <c r="MVW476" s="54"/>
      <c r="MVX476" s="54"/>
      <c r="MVY476" s="54"/>
      <c r="MVZ476" s="54"/>
      <c r="MWA476" s="54"/>
      <c r="MWB476" s="54"/>
      <c r="MWC476" s="54"/>
      <c r="MWD476" s="54"/>
      <c r="MWE476" s="54"/>
      <c r="MWF476" s="54"/>
      <c r="MWG476" s="54"/>
      <c r="MWH476" s="54"/>
      <c r="MWI476" s="54"/>
      <c r="MWJ476" s="54"/>
      <c r="MWK476" s="54"/>
      <c r="MWL476" s="54"/>
      <c r="MWM476" s="54"/>
      <c r="MWN476" s="54"/>
      <c r="MWO476" s="54"/>
      <c r="MWP476" s="54"/>
      <c r="MWQ476" s="54"/>
      <c r="MWR476" s="54"/>
      <c r="MWS476" s="54"/>
      <c r="MWT476" s="54"/>
      <c r="MWU476" s="54"/>
      <c r="MWV476" s="54"/>
      <c r="MWW476" s="54"/>
      <c r="MWX476" s="54"/>
      <c r="MWY476" s="54"/>
      <c r="MWZ476" s="54"/>
      <c r="MXA476" s="54"/>
      <c r="MXB476" s="54"/>
      <c r="MXC476" s="54"/>
      <c r="MXD476" s="54"/>
      <c r="MXE476" s="54"/>
      <c r="MXF476" s="54"/>
      <c r="MXG476" s="54"/>
      <c r="MXH476" s="54"/>
      <c r="MXI476" s="54"/>
      <c r="MXJ476" s="54"/>
      <c r="MXK476" s="54"/>
      <c r="MXL476" s="54"/>
      <c r="MXM476" s="54"/>
      <c r="MXN476" s="54"/>
      <c r="MXO476" s="54"/>
      <c r="MXP476" s="54"/>
      <c r="MXQ476" s="54"/>
      <c r="MXR476" s="54"/>
      <c r="MXS476" s="54"/>
      <c r="MXT476" s="54"/>
      <c r="MXU476" s="54"/>
      <c r="MXV476" s="54"/>
      <c r="MXW476" s="54"/>
      <c r="MXX476" s="54"/>
      <c r="MXY476" s="54"/>
      <c r="MXZ476" s="54"/>
      <c r="MYA476" s="54"/>
      <c r="MYB476" s="54"/>
      <c r="MYC476" s="54"/>
      <c r="MYD476" s="54"/>
      <c r="MYE476" s="54"/>
      <c r="MYF476" s="54"/>
      <c r="MYG476" s="54"/>
      <c r="MYH476" s="54"/>
      <c r="MYI476" s="54"/>
      <c r="MYJ476" s="54"/>
      <c r="MYK476" s="54"/>
      <c r="MYL476" s="54"/>
      <c r="MYM476" s="54"/>
      <c r="MYN476" s="54"/>
      <c r="MYO476" s="54"/>
      <c r="MYP476" s="54"/>
      <c r="MYQ476" s="54"/>
      <c r="MYR476" s="54"/>
      <c r="MYS476" s="54"/>
      <c r="MYT476" s="54"/>
      <c r="MYU476" s="54"/>
      <c r="MYV476" s="54"/>
      <c r="MYW476" s="54"/>
      <c r="MYX476" s="54"/>
      <c r="MYY476" s="54"/>
      <c r="MYZ476" s="54"/>
      <c r="MZA476" s="54"/>
      <c r="MZB476" s="54"/>
      <c r="MZC476" s="54"/>
      <c r="MZD476" s="54"/>
      <c r="MZE476" s="54"/>
      <c r="MZF476" s="54"/>
      <c r="MZG476" s="54"/>
      <c r="MZH476" s="54"/>
      <c r="MZI476" s="54"/>
      <c r="MZJ476" s="54"/>
      <c r="MZK476" s="54"/>
      <c r="MZL476" s="54"/>
      <c r="MZM476" s="54"/>
      <c r="MZN476" s="54"/>
      <c r="MZO476" s="54"/>
      <c r="MZP476" s="54"/>
      <c r="MZQ476" s="54"/>
      <c r="MZR476" s="54"/>
      <c r="MZS476" s="54"/>
      <c r="MZT476" s="54"/>
      <c r="MZU476" s="54"/>
      <c r="MZV476" s="54"/>
      <c r="MZW476" s="54"/>
      <c r="MZX476" s="54"/>
      <c r="MZY476" s="54"/>
      <c r="MZZ476" s="54"/>
      <c r="NAA476" s="54"/>
      <c r="NAB476" s="54"/>
      <c r="NAC476" s="54"/>
      <c r="NAD476" s="54"/>
      <c r="NAE476" s="54"/>
      <c r="NAF476" s="54"/>
      <c r="NAG476" s="54"/>
      <c r="NAH476" s="54"/>
      <c r="NAI476" s="54"/>
      <c r="NAJ476" s="54"/>
      <c r="NAK476" s="54"/>
      <c r="NAL476" s="54"/>
      <c r="NAM476" s="54"/>
      <c r="NAN476" s="54"/>
      <c r="NAO476" s="54"/>
      <c r="NAP476" s="54"/>
      <c r="NAQ476" s="54"/>
      <c r="NAR476" s="54"/>
      <c r="NAS476" s="54"/>
      <c r="NAT476" s="54"/>
      <c r="NAU476" s="54"/>
      <c r="NAV476" s="54"/>
      <c r="NAW476" s="54"/>
      <c r="NAX476" s="54"/>
      <c r="NAY476" s="54"/>
      <c r="NAZ476" s="54"/>
      <c r="NBA476" s="54"/>
      <c r="NBB476" s="54"/>
      <c r="NBC476" s="54"/>
      <c r="NBD476" s="54"/>
      <c r="NBE476" s="54"/>
      <c r="NBF476" s="54"/>
      <c r="NBG476" s="54"/>
      <c r="NBH476" s="54"/>
      <c r="NBI476" s="54"/>
      <c r="NBJ476" s="54"/>
      <c r="NBK476" s="54"/>
      <c r="NBL476" s="54"/>
      <c r="NBM476" s="54"/>
      <c r="NBN476" s="54"/>
      <c r="NBO476" s="54"/>
      <c r="NBP476" s="54"/>
      <c r="NBQ476" s="54"/>
      <c r="NBR476" s="54"/>
      <c r="NBS476" s="54"/>
      <c r="NBT476" s="54"/>
      <c r="NBU476" s="54"/>
      <c r="NBV476" s="54"/>
      <c r="NBW476" s="54"/>
      <c r="NBX476" s="54"/>
      <c r="NBY476" s="54"/>
      <c r="NBZ476" s="54"/>
      <c r="NCA476" s="54"/>
      <c r="NCB476" s="54"/>
      <c r="NCC476" s="54"/>
      <c r="NCD476" s="54"/>
      <c r="NCE476" s="54"/>
      <c r="NCF476" s="54"/>
      <c r="NCG476" s="54"/>
      <c r="NCH476" s="54"/>
      <c r="NCI476" s="54"/>
      <c r="NCJ476" s="54"/>
      <c r="NCK476" s="54"/>
      <c r="NCL476" s="54"/>
      <c r="NCM476" s="54"/>
      <c r="NCN476" s="54"/>
      <c r="NCO476" s="54"/>
      <c r="NCP476" s="54"/>
      <c r="NCQ476" s="54"/>
      <c r="NCR476" s="54"/>
      <c r="NCS476" s="54"/>
      <c r="NCT476" s="54"/>
      <c r="NCU476" s="54"/>
      <c r="NCV476" s="54"/>
      <c r="NCW476" s="54"/>
      <c r="NCX476" s="54"/>
      <c r="NCY476" s="54"/>
      <c r="NCZ476" s="54"/>
      <c r="NDA476" s="54"/>
      <c r="NDB476" s="54"/>
      <c r="NDC476" s="54"/>
      <c r="NDD476" s="54"/>
      <c r="NDE476" s="54"/>
      <c r="NDF476" s="54"/>
      <c r="NDG476" s="54"/>
      <c r="NDH476" s="54"/>
      <c r="NDI476" s="54"/>
      <c r="NDJ476" s="54"/>
      <c r="NDK476" s="54"/>
      <c r="NDL476" s="54"/>
      <c r="NDM476" s="54"/>
      <c r="NDN476" s="54"/>
      <c r="NDO476" s="54"/>
      <c r="NDP476" s="54"/>
      <c r="NDQ476" s="54"/>
      <c r="NDR476" s="54"/>
      <c r="NDS476" s="54"/>
      <c r="NDT476" s="54"/>
      <c r="NDU476" s="54"/>
      <c r="NDV476" s="54"/>
      <c r="NDW476" s="54"/>
      <c r="NDX476" s="54"/>
      <c r="NDY476" s="54"/>
      <c r="NDZ476" s="54"/>
      <c r="NEA476" s="54"/>
      <c r="NEB476" s="54"/>
      <c r="NEC476" s="54"/>
      <c r="NED476" s="54"/>
      <c r="NEE476" s="54"/>
      <c r="NEF476" s="54"/>
      <c r="NEG476" s="54"/>
      <c r="NEH476" s="54"/>
      <c r="NEI476" s="54"/>
      <c r="NEJ476" s="54"/>
      <c r="NEK476" s="54"/>
      <c r="NEL476" s="54"/>
      <c r="NEM476" s="54"/>
      <c r="NEN476" s="54"/>
      <c r="NEO476" s="54"/>
      <c r="NEP476" s="54"/>
      <c r="NEQ476" s="54"/>
      <c r="NER476" s="54"/>
      <c r="NES476" s="54"/>
      <c r="NET476" s="54"/>
      <c r="NEU476" s="54"/>
      <c r="NEV476" s="54"/>
      <c r="NEW476" s="54"/>
      <c r="NEX476" s="54"/>
      <c r="NEY476" s="54"/>
      <c r="NEZ476" s="54"/>
      <c r="NFA476" s="54"/>
      <c r="NFB476" s="54"/>
      <c r="NFC476" s="54"/>
      <c r="NFD476" s="54"/>
      <c r="NFE476" s="54"/>
      <c r="NFF476" s="54"/>
      <c r="NFG476" s="54"/>
      <c r="NFH476" s="54"/>
      <c r="NFI476" s="54"/>
      <c r="NFJ476" s="54"/>
      <c r="NFK476" s="54"/>
      <c r="NFL476" s="54"/>
      <c r="NFM476" s="54"/>
      <c r="NFN476" s="54"/>
      <c r="NFO476" s="54"/>
      <c r="NFP476" s="54"/>
      <c r="NFQ476" s="54"/>
      <c r="NFR476" s="54"/>
      <c r="NFS476" s="54"/>
      <c r="NFT476" s="54"/>
      <c r="NFU476" s="54"/>
      <c r="NFV476" s="54"/>
      <c r="NFW476" s="54"/>
      <c r="NFX476" s="54"/>
      <c r="NFY476" s="54"/>
      <c r="NFZ476" s="54"/>
      <c r="NGA476" s="54"/>
      <c r="NGB476" s="54"/>
      <c r="NGC476" s="54"/>
      <c r="NGD476" s="54"/>
      <c r="NGE476" s="54"/>
      <c r="NGF476" s="54"/>
      <c r="NGG476" s="54"/>
      <c r="NGH476" s="54"/>
      <c r="NGI476" s="54"/>
      <c r="NGJ476" s="54"/>
      <c r="NGK476" s="54"/>
      <c r="NGL476" s="54"/>
      <c r="NGM476" s="54"/>
      <c r="NGN476" s="54"/>
      <c r="NGO476" s="54"/>
      <c r="NGP476" s="54"/>
      <c r="NGQ476" s="54"/>
      <c r="NGR476" s="54"/>
      <c r="NGS476" s="54"/>
      <c r="NGT476" s="54"/>
      <c r="NGU476" s="54"/>
      <c r="NGV476" s="54"/>
      <c r="NGW476" s="54"/>
      <c r="NGX476" s="54"/>
      <c r="NGY476" s="54"/>
      <c r="NGZ476" s="54"/>
      <c r="NHA476" s="54"/>
      <c r="NHB476" s="54"/>
      <c r="NHC476" s="54"/>
      <c r="NHD476" s="54"/>
      <c r="NHE476" s="54"/>
      <c r="NHF476" s="54"/>
      <c r="NHG476" s="54"/>
      <c r="NHH476" s="54"/>
      <c r="NHI476" s="54"/>
      <c r="NHJ476" s="54"/>
      <c r="NHK476" s="54"/>
      <c r="NHL476" s="54"/>
      <c r="NHM476" s="54"/>
      <c r="NHN476" s="54"/>
      <c r="NHO476" s="54"/>
      <c r="NHP476" s="54"/>
      <c r="NHQ476" s="54"/>
      <c r="NHR476" s="54"/>
      <c r="NHS476" s="54"/>
      <c r="NHT476" s="54"/>
      <c r="NHU476" s="54"/>
      <c r="NHV476" s="54"/>
      <c r="NHW476" s="54"/>
      <c r="NHX476" s="54"/>
      <c r="NHY476" s="54"/>
      <c r="NHZ476" s="54"/>
      <c r="NIA476" s="54"/>
      <c r="NIB476" s="54"/>
      <c r="NIC476" s="54"/>
      <c r="NID476" s="54"/>
      <c r="NIE476" s="54"/>
      <c r="NIF476" s="54"/>
      <c r="NIG476" s="54"/>
      <c r="NIH476" s="54"/>
      <c r="NII476" s="54"/>
      <c r="NIJ476" s="54"/>
      <c r="NIK476" s="54"/>
      <c r="NIL476" s="54"/>
      <c r="NIM476" s="54"/>
      <c r="NIN476" s="54"/>
      <c r="NIO476" s="54"/>
      <c r="NIP476" s="54"/>
      <c r="NIQ476" s="54"/>
      <c r="NIR476" s="54"/>
      <c r="NIS476" s="54"/>
      <c r="NIT476" s="54"/>
      <c r="NIU476" s="54"/>
      <c r="NIV476" s="54"/>
      <c r="NIW476" s="54"/>
      <c r="NIX476" s="54"/>
      <c r="NIY476" s="54"/>
      <c r="NIZ476" s="54"/>
      <c r="NJA476" s="54"/>
      <c r="NJB476" s="54"/>
      <c r="NJC476" s="54"/>
      <c r="NJD476" s="54"/>
      <c r="NJE476" s="54"/>
      <c r="NJF476" s="54"/>
      <c r="NJG476" s="54"/>
      <c r="NJH476" s="54"/>
      <c r="NJI476" s="54"/>
      <c r="NJJ476" s="54"/>
      <c r="NJK476" s="54"/>
      <c r="NJL476" s="54"/>
      <c r="NJM476" s="54"/>
      <c r="NJN476" s="54"/>
      <c r="NJO476" s="54"/>
      <c r="NJP476" s="54"/>
      <c r="NJQ476" s="54"/>
      <c r="NJR476" s="54"/>
      <c r="NJS476" s="54"/>
      <c r="NJT476" s="54"/>
      <c r="NJU476" s="54"/>
      <c r="NJV476" s="54"/>
      <c r="NJW476" s="54"/>
      <c r="NJX476" s="54"/>
      <c r="NJY476" s="54"/>
      <c r="NJZ476" s="54"/>
      <c r="NKA476" s="54"/>
      <c r="NKB476" s="54"/>
      <c r="NKC476" s="54"/>
      <c r="NKD476" s="54"/>
      <c r="NKE476" s="54"/>
      <c r="NKF476" s="54"/>
      <c r="NKG476" s="54"/>
      <c r="NKH476" s="54"/>
      <c r="NKI476" s="54"/>
      <c r="NKJ476" s="54"/>
      <c r="NKK476" s="54"/>
      <c r="NKL476" s="54"/>
      <c r="NKM476" s="54"/>
      <c r="NKN476" s="54"/>
      <c r="NKO476" s="54"/>
      <c r="NKP476" s="54"/>
      <c r="NKQ476" s="54"/>
      <c r="NKR476" s="54"/>
      <c r="NKS476" s="54"/>
      <c r="NKT476" s="54"/>
      <c r="NKU476" s="54"/>
      <c r="NKV476" s="54"/>
      <c r="NKW476" s="54"/>
      <c r="NKX476" s="54"/>
      <c r="NKY476" s="54"/>
      <c r="NKZ476" s="54"/>
      <c r="NLA476" s="54"/>
      <c r="NLB476" s="54"/>
      <c r="NLC476" s="54"/>
      <c r="NLD476" s="54"/>
      <c r="NLE476" s="54"/>
      <c r="NLF476" s="54"/>
      <c r="NLG476" s="54"/>
      <c r="NLH476" s="54"/>
      <c r="NLI476" s="54"/>
      <c r="NLJ476" s="54"/>
      <c r="NLK476" s="54"/>
      <c r="NLL476" s="54"/>
      <c r="NLM476" s="54"/>
      <c r="NLN476" s="54"/>
      <c r="NLO476" s="54"/>
      <c r="NLP476" s="54"/>
      <c r="NLQ476" s="54"/>
      <c r="NLR476" s="54"/>
      <c r="NLS476" s="54"/>
      <c r="NLT476" s="54"/>
      <c r="NLU476" s="54"/>
      <c r="NLV476" s="54"/>
      <c r="NLW476" s="54"/>
      <c r="NLX476" s="54"/>
      <c r="NLY476" s="54"/>
      <c r="NLZ476" s="54"/>
      <c r="NMA476" s="54"/>
      <c r="NMB476" s="54"/>
      <c r="NMC476" s="54"/>
      <c r="NMD476" s="54"/>
      <c r="NME476" s="54"/>
      <c r="NMF476" s="54"/>
      <c r="NMG476" s="54"/>
      <c r="NMH476" s="54"/>
      <c r="NMI476" s="54"/>
      <c r="NMJ476" s="54"/>
      <c r="NMK476" s="54"/>
      <c r="NML476" s="54"/>
      <c r="NMM476" s="54"/>
      <c r="NMN476" s="54"/>
      <c r="NMO476" s="54"/>
      <c r="NMP476" s="54"/>
      <c r="NMQ476" s="54"/>
      <c r="NMR476" s="54"/>
      <c r="NMS476" s="54"/>
      <c r="NMT476" s="54"/>
      <c r="NMU476" s="54"/>
      <c r="NMV476" s="54"/>
      <c r="NMW476" s="54"/>
      <c r="NMX476" s="54"/>
      <c r="NMY476" s="54"/>
      <c r="NMZ476" s="54"/>
      <c r="NNA476" s="54"/>
      <c r="NNB476" s="54"/>
      <c r="NNC476" s="54"/>
      <c r="NND476" s="54"/>
      <c r="NNE476" s="54"/>
      <c r="NNF476" s="54"/>
      <c r="NNG476" s="54"/>
      <c r="NNH476" s="54"/>
      <c r="NNI476" s="54"/>
      <c r="NNJ476" s="54"/>
      <c r="NNK476" s="54"/>
      <c r="NNL476" s="54"/>
      <c r="NNM476" s="54"/>
      <c r="NNN476" s="54"/>
      <c r="NNO476" s="54"/>
      <c r="NNP476" s="54"/>
      <c r="NNQ476" s="54"/>
      <c r="NNR476" s="54"/>
      <c r="NNS476" s="54"/>
      <c r="NNT476" s="54"/>
      <c r="NNU476" s="54"/>
      <c r="NNV476" s="54"/>
      <c r="NNW476" s="54"/>
      <c r="NNX476" s="54"/>
      <c r="NNY476" s="54"/>
      <c r="NNZ476" s="54"/>
      <c r="NOA476" s="54"/>
      <c r="NOB476" s="54"/>
      <c r="NOC476" s="54"/>
      <c r="NOD476" s="54"/>
      <c r="NOE476" s="54"/>
      <c r="NOF476" s="54"/>
      <c r="NOG476" s="54"/>
      <c r="NOH476" s="54"/>
      <c r="NOI476" s="54"/>
      <c r="NOJ476" s="54"/>
      <c r="NOK476" s="54"/>
      <c r="NOL476" s="54"/>
      <c r="NOM476" s="54"/>
      <c r="NON476" s="54"/>
      <c r="NOO476" s="54"/>
      <c r="NOP476" s="54"/>
      <c r="NOQ476" s="54"/>
      <c r="NOR476" s="54"/>
      <c r="NOS476" s="54"/>
      <c r="NOT476" s="54"/>
      <c r="NOU476" s="54"/>
      <c r="NOV476" s="54"/>
      <c r="NOW476" s="54"/>
      <c r="NOX476" s="54"/>
      <c r="NOY476" s="54"/>
      <c r="NOZ476" s="54"/>
      <c r="NPA476" s="54"/>
      <c r="NPB476" s="54"/>
      <c r="NPC476" s="54"/>
      <c r="NPD476" s="54"/>
      <c r="NPE476" s="54"/>
      <c r="NPF476" s="54"/>
      <c r="NPG476" s="54"/>
      <c r="NPH476" s="54"/>
      <c r="NPI476" s="54"/>
      <c r="NPJ476" s="54"/>
      <c r="NPK476" s="54"/>
      <c r="NPL476" s="54"/>
      <c r="NPM476" s="54"/>
      <c r="NPN476" s="54"/>
      <c r="NPO476" s="54"/>
      <c r="NPP476" s="54"/>
      <c r="NPQ476" s="54"/>
      <c r="NPR476" s="54"/>
      <c r="NPS476" s="54"/>
      <c r="NPT476" s="54"/>
      <c r="NPU476" s="54"/>
      <c r="NPV476" s="54"/>
      <c r="NPW476" s="54"/>
      <c r="NPX476" s="54"/>
      <c r="NPY476" s="54"/>
      <c r="NPZ476" s="54"/>
      <c r="NQA476" s="54"/>
      <c r="NQB476" s="54"/>
      <c r="NQC476" s="54"/>
      <c r="NQD476" s="54"/>
      <c r="NQE476" s="54"/>
      <c r="NQF476" s="54"/>
      <c r="NQG476" s="54"/>
      <c r="NQH476" s="54"/>
      <c r="NQI476" s="54"/>
      <c r="NQJ476" s="54"/>
      <c r="NQK476" s="54"/>
      <c r="NQL476" s="54"/>
      <c r="NQM476" s="54"/>
      <c r="NQN476" s="54"/>
      <c r="NQO476" s="54"/>
      <c r="NQP476" s="54"/>
      <c r="NQQ476" s="54"/>
      <c r="NQR476" s="54"/>
      <c r="NQS476" s="54"/>
      <c r="NQT476" s="54"/>
      <c r="NQU476" s="54"/>
      <c r="NQV476" s="54"/>
      <c r="NQW476" s="54"/>
      <c r="NQX476" s="54"/>
      <c r="NQY476" s="54"/>
      <c r="NQZ476" s="54"/>
      <c r="NRA476" s="54"/>
      <c r="NRB476" s="54"/>
      <c r="NRC476" s="54"/>
      <c r="NRD476" s="54"/>
      <c r="NRE476" s="54"/>
      <c r="NRF476" s="54"/>
      <c r="NRG476" s="54"/>
      <c r="NRH476" s="54"/>
      <c r="NRI476" s="54"/>
      <c r="NRJ476" s="54"/>
      <c r="NRK476" s="54"/>
      <c r="NRL476" s="54"/>
      <c r="NRM476" s="54"/>
      <c r="NRN476" s="54"/>
      <c r="NRO476" s="54"/>
      <c r="NRP476" s="54"/>
      <c r="NRQ476" s="54"/>
      <c r="NRR476" s="54"/>
      <c r="NRS476" s="54"/>
      <c r="NRT476" s="54"/>
      <c r="NRU476" s="54"/>
      <c r="NRV476" s="54"/>
      <c r="NRW476" s="54"/>
      <c r="NRX476" s="54"/>
      <c r="NRY476" s="54"/>
      <c r="NRZ476" s="54"/>
      <c r="NSA476" s="54"/>
      <c r="NSB476" s="54"/>
      <c r="NSC476" s="54"/>
      <c r="NSD476" s="54"/>
      <c r="NSE476" s="54"/>
      <c r="NSF476" s="54"/>
      <c r="NSG476" s="54"/>
      <c r="NSH476" s="54"/>
      <c r="NSI476" s="54"/>
      <c r="NSJ476" s="54"/>
      <c r="NSK476" s="54"/>
      <c r="NSL476" s="54"/>
      <c r="NSM476" s="54"/>
      <c r="NSN476" s="54"/>
      <c r="NSO476" s="54"/>
      <c r="NSP476" s="54"/>
      <c r="NSQ476" s="54"/>
      <c r="NSR476" s="54"/>
      <c r="NSS476" s="54"/>
      <c r="NST476" s="54"/>
      <c r="NSU476" s="54"/>
      <c r="NSV476" s="54"/>
      <c r="NSW476" s="54"/>
      <c r="NSX476" s="54"/>
      <c r="NSY476" s="54"/>
      <c r="NSZ476" s="54"/>
      <c r="NTA476" s="54"/>
      <c r="NTB476" s="54"/>
      <c r="NTC476" s="54"/>
      <c r="NTD476" s="54"/>
      <c r="NTE476" s="54"/>
      <c r="NTF476" s="54"/>
      <c r="NTG476" s="54"/>
      <c r="NTH476" s="54"/>
      <c r="NTI476" s="54"/>
      <c r="NTJ476" s="54"/>
      <c r="NTK476" s="54"/>
      <c r="NTL476" s="54"/>
      <c r="NTM476" s="54"/>
      <c r="NTN476" s="54"/>
      <c r="NTO476" s="54"/>
      <c r="NTP476" s="54"/>
      <c r="NTQ476" s="54"/>
      <c r="NTR476" s="54"/>
      <c r="NTS476" s="54"/>
      <c r="NTT476" s="54"/>
      <c r="NTU476" s="54"/>
      <c r="NTV476" s="54"/>
      <c r="NTW476" s="54"/>
      <c r="NTX476" s="54"/>
      <c r="NTY476" s="54"/>
      <c r="NTZ476" s="54"/>
      <c r="NUA476" s="54"/>
      <c r="NUB476" s="54"/>
      <c r="NUC476" s="54"/>
      <c r="NUD476" s="54"/>
      <c r="NUE476" s="54"/>
      <c r="NUF476" s="54"/>
      <c r="NUG476" s="54"/>
      <c r="NUH476" s="54"/>
      <c r="NUI476" s="54"/>
      <c r="NUJ476" s="54"/>
      <c r="NUK476" s="54"/>
      <c r="NUL476" s="54"/>
      <c r="NUM476" s="54"/>
      <c r="NUN476" s="54"/>
      <c r="NUO476" s="54"/>
      <c r="NUP476" s="54"/>
      <c r="NUQ476" s="54"/>
      <c r="NUR476" s="54"/>
      <c r="NUS476" s="54"/>
      <c r="NUT476" s="54"/>
      <c r="NUU476" s="54"/>
      <c r="NUV476" s="54"/>
      <c r="NUW476" s="54"/>
      <c r="NUX476" s="54"/>
      <c r="NUY476" s="54"/>
      <c r="NUZ476" s="54"/>
      <c r="NVA476" s="54"/>
      <c r="NVB476" s="54"/>
      <c r="NVC476" s="54"/>
      <c r="NVD476" s="54"/>
      <c r="NVE476" s="54"/>
      <c r="NVF476" s="54"/>
      <c r="NVG476" s="54"/>
      <c r="NVH476" s="54"/>
      <c r="NVI476" s="54"/>
      <c r="NVJ476" s="54"/>
      <c r="NVK476" s="54"/>
      <c r="NVL476" s="54"/>
      <c r="NVM476" s="54"/>
      <c r="NVN476" s="54"/>
      <c r="NVO476" s="54"/>
      <c r="NVP476" s="54"/>
      <c r="NVQ476" s="54"/>
      <c r="NVR476" s="54"/>
      <c r="NVS476" s="54"/>
      <c r="NVT476" s="54"/>
      <c r="NVU476" s="54"/>
      <c r="NVV476" s="54"/>
      <c r="NVW476" s="54"/>
      <c r="NVX476" s="54"/>
      <c r="NVY476" s="54"/>
      <c r="NVZ476" s="54"/>
      <c r="NWA476" s="54"/>
      <c r="NWB476" s="54"/>
      <c r="NWC476" s="54"/>
      <c r="NWD476" s="54"/>
      <c r="NWE476" s="54"/>
      <c r="NWF476" s="54"/>
      <c r="NWG476" s="54"/>
      <c r="NWH476" s="54"/>
      <c r="NWI476" s="54"/>
      <c r="NWJ476" s="54"/>
      <c r="NWK476" s="54"/>
      <c r="NWL476" s="54"/>
      <c r="NWM476" s="54"/>
      <c r="NWN476" s="54"/>
      <c r="NWO476" s="54"/>
      <c r="NWP476" s="54"/>
      <c r="NWQ476" s="54"/>
      <c r="NWR476" s="54"/>
      <c r="NWS476" s="54"/>
      <c r="NWT476" s="54"/>
      <c r="NWU476" s="54"/>
      <c r="NWV476" s="54"/>
      <c r="NWW476" s="54"/>
      <c r="NWX476" s="54"/>
      <c r="NWY476" s="54"/>
      <c r="NWZ476" s="54"/>
      <c r="NXA476" s="54"/>
      <c r="NXB476" s="54"/>
      <c r="NXC476" s="54"/>
      <c r="NXD476" s="54"/>
      <c r="NXE476" s="54"/>
      <c r="NXF476" s="54"/>
      <c r="NXG476" s="54"/>
      <c r="NXH476" s="54"/>
      <c r="NXI476" s="54"/>
      <c r="NXJ476" s="54"/>
      <c r="NXK476" s="54"/>
      <c r="NXL476" s="54"/>
      <c r="NXM476" s="54"/>
      <c r="NXN476" s="54"/>
      <c r="NXO476" s="54"/>
      <c r="NXP476" s="54"/>
      <c r="NXQ476" s="54"/>
      <c r="NXR476" s="54"/>
      <c r="NXS476" s="54"/>
      <c r="NXT476" s="54"/>
      <c r="NXU476" s="54"/>
      <c r="NXV476" s="54"/>
      <c r="NXW476" s="54"/>
      <c r="NXX476" s="54"/>
      <c r="NXY476" s="54"/>
      <c r="NXZ476" s="54"/>
      <c r="NYA476" s="54"/>
      <c r="NYB476" s="54"/>
      <c r="NYC476" s="54"/>
      <c r="NYD476" s="54"/>
      <c r="NYE476" s="54"/>
      <c r="NYF476" s="54"/>
      <c r="NYG476" s="54"/>
      <c r="NYH476" s="54"/>
      <c r="NYI476" s="54"/>
      <c r="NYJ476" s="54"/>
      <c r="NYK476" s="54"/>
      <c r="NYL476" s="54"/>
      <c r="NYM476" s="54"/>
      <c r="NYN476" s="54"/>
      <c r="NYO476" s="54"/>
      <c r="NYP476" s="54"/>
      <c r="NYQ476" s="54"/>
      <c r="NYR476" s="54"/>
      <c r="NYS476" s="54"/>
      <c r="NYT476" s="54"/>
      <c r="NYU476" s="54"/>
      <c r="NYV476" s="54"/>
      <c r="NYW476" s="54"/>
      <c r="NYX476" s="54"/>
      <c r="NYY476" s="54"/>
      <c r="NYZ476" s="54"/>
      <c r="NZA476" s="54"/>
      <c r="NZB476" s="54"/>
      <c r="NZC476" s="54"/>
      <c r="NZD476" s="54"/>
      <c r="NZE476" s="54"/>
      <c r="NZF476" s="54"/>
      <c r="NZG476" s="54"/>
      <c r="NZH476" s="54"/>
      <c r="NZI476" s="54"/>
      <c r="NZJ476" s="54"/>
      <c r="NZK476" s="54"/>
      <c r="NZL476" s="54"/>
      <c r="NZM476" s="54"/>
      <c r="NZN476" s="54"/>
      <c r="NZO476" s="54"/>
      <c r="NZP476" s="54"/>
      <c r="NZQ476" s="54"/>
      <c r="NZR476" s="54"/>
      <c r="NZS476" s="54"/>
      <c r="NZT476" s="54"/>
      <c r="NZU476" s="54"/>
      <c r="NZV476" s="54"/>
      <c r="NZW476" s="54"/>
      <c r="NZX476" s="54"/>
      <c r="NZY476" s="54"/>
      <c r="NZZ476" s="54"/>
      <c r="OAA476" s="54"/>
      <c r="OAB476" s="54"/>
      <c r="OAC476" s="54"/>
      <c r="OAD476" s="54"/>
      <c r="OAE476" s="54"/>
      <c r="OAF476" s="54"/>
      <c r="OAG476" s="54"/>
      <c r="OAH476" s="54"/>
      <c r="OAI476" s="54"/>
      <c r="OAJ476" s="54"/>
      <c r="OAK476" s="54"/>
      <c r="OAL476" s="54"/>
      <c r="OAM476" s="54"/>
      <c r="OAN476" s="54"/>
      <c r="OAO476" s="54"/>
      <c r="OAP476" s="54"/>
      <c r="OAQ476" s="54"/>
      <c r="OAR476" s="54"/>
      <c r="OAS476" s="54"/>
      <c r="OAT476" s="54"/>
      <c r="OAU476" s="54"/>
      <c r="OAV476" s="54"/>
      <c r="OAW476" s="54"/>
      <c r="OAX476" s="54"/>
      <c r="OAY476" s="54"/>
      <c r="OAZ476" s="54"/>
      <c r="OBA476" s="54"/>
      <c r="OBB476" s="54"/>
      <c r="OBC476" s="54"/>
      <c r="OBD476" s="54"/>
      <c r="OBE476" s="54"/>
      <c r="OBF476" s="54"/>
      <c r="OBG476" s="54"/>
      <c r="OBH476" s="54"/>
      <c r="OBI476" s="54"/>
      <c r="OBJ476" s="54"/>
      <c r="OBK476" s="54"/>
      <c r="OBL476" s="54"/>
      <c r="OBM476" s="54"/>
      <c r="OBN476" s="54"/>
      <c r="OBO476" s="54"/>
      <c r="OBP476" s="54"/>
      <c r="OBQ476" s="54"/>
      <c r="OBR476" s="54"/>
      <c r="OBS476" s="54"/>
      <c r="OBT476" s="54"/>
      <c r="OBU476" s="54"/>
      <c r="OBV476" s="54"/>
      <c r="OBW476" s="54"/>
      <c r="OBX476" s="54"/>
      <c r="OBY476" s="54"/>
      <c r="OBZ476" s="54"/>
      <c r="OCA476" s="54"/>
      <c r="OCB476" s="54"/>
      <c r="OCC476" s="54"/>
      <c r="OCD476" s="54"/>
      <c r="OCE476" s="54"/>
      <c r="OCF476" s="54"/>
      <c r="OCG476" s="54"/>
      <c r="OCH476" s="54"/>
      <c r="OCI476" s="54"/>
      <c r="OCJ476" s="54"/>
      <c r="OCK476" s="54"/>
      <c r="OCL476" s="54"/>
      <c r="OCM476" s="54"/>
      <c r="OCN476" s="54"/>
      <c r="OCO476" s="54"/>
      <c r="OCP476" s="54"/>
      <c r="OCQ476" s="54"/>
      <c r="OCR476" s="54"/>
      <c r="OCS476" s="54"/>
      <c r="OCT476" s="54"/>
      <c r="OCU476" s="54"/>
      <c r="OCV476" s="54"/>
      <c r="OCW476" s="54"/>
      <c r="OCX476" s="54"/>
      <c r="OCY476" s="54"/>
      <c r="OCZ476" s="54"/>
      <c r="ODA476" s="54"/>
      <c r="ODB476" s="54"/>
      <c r="ODC476" s="54"/>
      <c r="ODD476" s="54"/>
      <c r="ODE476" s="54"/>
      <c r="ODF476" s="54"/>
      <c r="ODG476" s="54"/>
      <c r="ODH476" s="54"/>
      <c r="ODI476" s="54"/>
      <c r="ODJ476" s="54"/>
      <c r="ODK476" s="54"/>
      <c r="ODL476" s="54"/>
      <c r="ODM476" s="54"/>
      <c r="ODN476" s="54"/>
      <c r="ODO476" s="54"/>
      <c r="ODP476" s="54"/>
      <c r="ODQ476" s="54"/>
      <c r="ODR476" s="54"/>
      <c r="ODS476" s="54"/>
      <c r="ODT476" s="54"/>
      <c r="ODU476" s="54"/>
      <c r="ODV476" s="54"/>
      <c r="ODW476" s="54"/>
      <c r="ODX476" s="54"/>
      <c r="ODY476" s="54"/>
      <c r="ODZ476" s="54"/>
      <c r="OEA476" s="54"/>
      <c r="OEB476" s="54"/>
      <c r="OEC476" s="54"/>
      <c r="OED476" s="54"/>
      <c r="OEE476" s="54"/>
      <c r="OEF476" s="54"/>
      <c r="OEG476" s="54"/>
      <c r="OEH476" s="54"/>
      <c r="OEI476" s="54"/>
      <c r="OEJ476" s="54"/>
      <c r="OEK476" s="54"/>
      <c r="OEL476" s="54"/>
      <c r="OEM476" s="54"/>
      <c r="OEN476" s="54"/>
      <c r="OEO476" s="54"/>
      <c r="OEP476" s="54"/>
      <c r="OEQ476" s="54"/>
      <c r="OER476" s="54"/>
      <c r="OES476" s="54"/>
      <c r="OET476" s="54"/>
      <c r="OEU476" s="54"/>
      <c r="OEV476" s="54"/>
      <c r="OEW476" s="54"/>
      <c r="OEX476" s="54"/>
      <c r="OEY476" s="54"/>
      <c r="OEZ476" s="54"/>
      <c r="OFA476" s="54"/>
      <c r="OFB476" s="54"/>
      <c r="OFC476" s="54"/>
      <c r="OFD476" s="54"/>
      <c r="OFE476" s="54"/>
      <c r="OFF476" s="54"/>
      <c r="OFG476" s="54"/>
      <c r="OFH476" s="54"/>
      <c r="OFI476" s="54"/>
      <c r="OFJ476" s="54"/>
      <c r="OFK476" s="54"/>
      <c r="OFL476" s="54"/>
      <c r="OFM476" s="54"/>
      <c r="OFN476" s="54"/>
      <c r="OFO476" s="54"/>
      <c r="OFP476" s="54"/>
      <c r="OFQ476" s="54"/>
      <c r="OFR476" s="54"/>
      <c r="OFS476" s="54"/>
      <c r="OFT476" s="54"/>
      <c r="OFU476" s="54"/>
      <c r="OFV476" s="54"/>
      <c r="OFW476" s="54"/>
      <c r="OFX476" s="54"/>
      <c r="OFY476" s="54"/>
      <c r="OFZ476" s="54"/>
      <c r="OGA476" s="54"/>
      <c r="OGB476" s="54"/>
      <c r="OGC476" s="54"/>
      <c r="OGD476" s="54"/>
      <c r="OGE476" s="54"/>
      <c r="OGF476" s="54"/>
      <c r="OGG476" s="54"/>
      <c r="OGH476" s="54"/>
      <c r="OGI476" s="54"/>
      <c r="OGJ476" s="54"/>
      <c r="OGK476" s="54"/>
      <c r="OGL476" s="54"/>
      <c r="OGM476" s="54"/>
      <c r="OGN476" s="54"/>
      <c r="OGO476" s="54"/>
      <c r="OGP476" s="54"/>
      <c r="OGQ476" s="54"/>
      <c r="OGR476" s="54"/>
      <c r="OGS476" s="54"/>
      <c r="OGT476" s="54"/>
      <c r="OGU476" s="54"/>
      <c r="OGV476" s="54"/>
      <c r="OGW476" s="54"/>
      <c r="OGX476" s="54"/>
      <c r="OGY476" s="54"/>
      <c r="OGZ476" s="54"/>
      <c r="OHA476" s="54"/>
      <c r="OHB476" s="54"/>
      <c r="OHC476" s="54"/>
      <c r="OHD476" s="54"/>
      <c r="OHE476" s="54"/>
      <c r="OHF476" s="54"/>
      <c r="OHG476" s="54"/>
      <c r="OHH476" s="54"/>
      <c r="OHI476" s="54"/>
      <c r="OHJ476" s="54"/>
      <c r="OHK476" s="54"/>
      <c r="OHL476" s="54"/>
      <c r="OHM476" s="54"/>
      <c r="OHN476" s="54"/>
      <c r="OHO476" s="54"/>
      <c r="OHP476" s="54"/>
      <c r="OHQ476" s="54"/>
      <c r="OHR476" s="54"/>
      <c r="OHS476" s="54"/>
      <c r="OHT476" s="54"/>
      <c r="OHU476" s="54"/>
      <c r="OHV476" s="54"/>
      <c r="OHW476" s="54"/>
      <c r="OHX476" s="54"/>
      <c r="OHY476" s="54"/>
      <c r="OHZ476" s="54"/>
      <c r="OIA476" s="54"/>
      <c r="OIB476" s="54"/>
      <c r="OIC476" s="54"/>
      <c r="OID476" s="54"/>
      <c r="OIE476" s="54"/>
      <c r="OIF476" s="54"/>
      <c r="OIG476" s="54"/>
      <c r="OIH476" s="54"/>
      <c r="OII476" s="54"/>
      <c r="OIJ476" s="54"/>
      <c r="OIK476" s="54"/>
      <c r="OIL476" s="54"/>
      <c r="OIM476" s="54"/>
      <c r="OIN476" s="54"/>
      <c r="OIO476" s="54"/>
      <c r="OIP476" s="54"/>
      <c r="OIQ476" s="54"/>
      <c r="OIR476" s="54"/>
      <c r="OIS476" s="54"/>
      <c r="OIT476" s="54"/>
      <c r="OIU476" s="54"/>
      <c r="OIV476" s="54"/>
      <c r="OIW476" s="54"/>
      <c r="OIX476" s="54"/>
      <c r="OIY476" s="54"/>
      <c r="OIZ476" s="54"/>
      <c r="OJA476" s="54"/>
      <c r="OJB476" s="54"/>
      <c r="OJC476" s="54"/>
      <c r="OJD476" s="54"/>
      <c r="OJE476" s="54"/>
      <c r="OJF476" s="54"/>
      <c r="OJG476" s="54"/>
      <c r="OJH476" s="54"/>
      <c r="OJI476" s="54"/>
      <c r="OJJ476" s="54"/>
      <c r="OJK476" s="54"/>
      <c r="OJL476" s="54"/>
      <c r="OJM476" s="54"/>
      <c r="OJN476" s="54"/>
      <c r="OJO476" s="54"/>
      <c r="OJP476" s="54"/>
      <c r="OJQ476" s="54"/>
      <c r="OJR476" s="54"/>
      <c r="OJS476" s="54"/>
      <c r="OJT476" s="54"/>
      <c r="OJU476" s="54"/>
      <c r="OJV476" s="54"/>
      <c r="OJW476" s="54"/>
      <c r="OJX476" s="54"/>
      <c r="OJY476" s="54"/>
      <c r="OJZ476" s="54"/>
      <c r="OKA476" s="54"/>
      <c r="OKB476" s="54"/>
      <c r="OKC476" s="54"/>
      <c r="OKD476" s="54"/>
      <c r="OKE476" s="54"/>
      <c r="OKF476" s="54"/>
      <c r="OKG476" s="54"/>
      <c r="OKH476" s="54"/>
      <c r="OKI476" s="54"/>
      <c r="OKJ476" s="54"/>
      <c r="OKK476" s="54"/>
      <c r="OKL476" s="54"/>
      <c r="OKM476" s="54"/>
      <c r="OKN476" s="54"/>
      <c r="OKO476" s="54"/>
      <c r="OKP476" s="54"/>
      <c r="OKQ476" s="54"/>
      <c r="OKR476" s="54"/>
      <c r="OKS476" s="54"/>
      <c r="OKT476" s="54"/>
      <c r="OKU476" s="54"/>
      <c r="OKV476" s="54"/>
      <c r="OKW476" s="54"/>
      <c r="OKX476" s="54"/>
      <c r="OKY476" s="54"/>
      <c r="OKZ476" s="54"/>
      <c r="OLA476" s="54"/>
      <c r="OLB476" s="54"/>
      <c r="OLC476" s="54"/>
      <c r="OLD476" s="54"/>
      <c r="OLE476" s="54"/>
      <c r="OLF476" s="54"/>
      <c r="OLG476" s="54"/>
      <c r="OLH476" s="54"/>
      <c r="OLI476" s="54"/>
      <c r="OLJ476" s="54"/>
      <c r="OLK476" s="54"/>
      <c r="OLL476" s="54"/>
      <c r="OLM476" s="54"/>
      <c r="OLN476" s="54"/>
      <c r="OLO476" s="54"/>
      <c r="OLP476" s="54"/>
      <c r="OLQ476" s="54"/>
      <c r="OLR476" s="54"/>
      <c r="OLS476" s="54"/>
      <c r="OLT476" s="54"/>
      <c r="OLU476" s="54"/>
      <c r="OLV476" s="54"/>
      <c r="OLW476" s="54"/>
      <c r="OLX476" s="54"/>
      <c r="OLY476" s="54"/>
      <c r="OLZ476" s="54"/>
      <c r="OMA476" s="54"/>
      <c r="OMB476" s="54"/>
      <c r="OMC476" s="54"/>
      <c r="OMD476" s="54"/>
      <c r="OME476" s="54"/>
      <c r="OMF476" s="54"/>
      <c r="OMG476" s="54"/>
      <c r="OMH476" s="54"/>
      <c r="OMI476" s="54"/>
      <c r="OMJ476" s="54"/>
      <c r="OMK476" s="54"/>
      <c r="OML476" s="54"/>
      <c r="OMM476" s="54"/>
      <c r="OMN476" s="54"/>
      <c r="OMO476" s="54"/>
      <c r="OMP476" s="54"/>
      <c r="OMQ476" s="54"/>
      <c r="OMR476" s="54"/>
      <c r="OMS476" s="54"/>
      <c r="OMT476" s="54"/>
      <c r="OMU476" s="54"/>
      <c r="OMV476" s="54"/>
      <c r="OMW476" s="54"/>
      <c r="OMX476" s="54"/>
      <c r="OMY476" s="54"/>
      <c r="OMZ476" s="54"/>
      <c r="ONA476" s="54"/>
      <c r="ONB476" s="54"/>
      <c r="ONC476" s="54"/>
      <c r="OND476" s="54"/>
      <c r="ONE476" s="54"/>
      <c r="ONF476" s="54"/>
      <c r="ONG476" s="54"/>
      <c r="ONH476" s="54"/>
      <c r="ONI476" s="54"/>
      <c r="ONJ476" s="54"/>
      <c r="ONK476" s="54"/>
      <c r="ONL476" s="54"/>
      <c r="ONM476" s="54"/>
      <c r="ONN476" s="54"/>
      <c r="ONO476" s="54"/>
      <c r="ONP476" s="54"/>
      <c r="ONQ476" s="54"/>
      <c r="ONR476" s="54"/>
      <c r="ONS476" s="54"/>
      <c r="ONT476" s="54"/>
      <c r="ONU476" s="54"/>
      <c r="ONV476" s="54"/>
      <c r="ONW476" s="54"/>
      <c r="ONX476" s="54"/>
      <c r="ONY476" s="54"/>
      <c r="ONZ476" s="54"/>
      <c r="OOA476" s="54"/>
      <c r="OOB476" s="54"/>
      <c r="OOC476" s="54"/>
      <c r="OOD476" s="54"/>
      <c r="OOE476" s="54"/>
      <c r="OOF476" s="54"/>
      <c r="OOG476" s="54"/>
      <c r="OOH476" s="54"/>
      <c r="OOI476" s="54"/>
      <c r="OOJ476" s="54"/>
      <c r="OOK476" s="54"/>
      <c r="OOL476" s="54"/>
      <c r="OOM476" s="54"/>
      <c r="OON476" s="54"/>
      <c r="OOO476" s="54"/>
      <c r="OOP476" s="54"/>
      <c r="OOQ476" s="54"/>
      <c r="OOR476" s="54"/>
      <c r="OOS476" s="54"/>
      <c r="OOT476" s="54"/>
      <c r="OOU476" s="54"/>
      <c r="OOV476" s="54"/>
      <c r="OOW476" s="54"/>
      <c r="OOX476" s="54"/>
      <c r="OOY476" s="54"/>
      <c r="OOZ476" s="54"/>
      <c r="OPA476" s="54"/>
      <c r="OPB476" s="54"/>
      <c r="OPC476" s="54"/>
      <c r="OPD476" s="54"/>
      <c r="OPE476" s="54"/>
      <c r="OPF476" s="54"/>
      <c r="OPG476" s="54"/>
      <c r="OPH476" s="54"/>
      <c r="OPI476" s="54"/>
      <c r="OPJ476" s="54"/>
      <c r="OPK476" s="54"/>
      <c r="OPL476" s="54"/>
      <c r="OPM476" s="54"/>
      <c r="OPN476" s="54"/>
      <c r="OPO476" s="54"/>
      <c r="OPP476" s="54"/>
      <c r="OPQ476" s="54"/>
      <c r="OPR476" s="54"/>
      <c r="OPS476" s="54"/>
      <c r="OPT476" s="54"/>
      <c r="OPU476" s="54"/>
      <c r="OPV476" s="54"/>
      <c r="OPW476" s="54"/>
      <c r="OPX476" s="54"/>
      <c r="OPY476" s="54"/>
      <c r="OPZ476" s="54"/>
      <c r="OQA476" s="54"/>
      <c r="OQB476" s="54"/>
      <c r="OQC476" s="54"/>
      <c r="OQD476" s="54"/>
      <c r="OQE476" s="54"/>
      <c r="OQF476" s="54"/>
      <c r="OQG476" s="54"/>
      <c r="OQH476" s="54"/>
      <c r="OQI476" s="54"/>
      <c r="OQJ476" s="54"/>
      <c r="OQK476" s="54"/>
      <c r="OQL476" s="54"/>
      <c r="OQM476" s="54"/>
      <c r="OQN476" s="54"/>
      <c r="OQO476" s="54"/>
      <c r="OQP476" s="54"/>
      <c r="OQQ476" s="54"/>
      <c r="OQR476" s="54"/>
      <c r="OQS476" s="54"/>
      <c r="OQT476" s="54"/>
      <c r="OQU476" s="54"/>
      <c r="OQV476" s="54"/>
      <c r="OQW476" s="54"/>
      <c r="OQX476" s="54"/>
      <c r="OQY476" s="54"/>
      <c r="OQZ476" s="54"/>
      <c r="ORA476" s="54"/>
      <c r="ORB476" s="54"/>
      <c r="ORC476" s="54"/>
      <c r="ORD476" s="54"/>
      <c r="ORE476" s="54"/>
      <c r="ORF476" s="54"/>
      <c r="ORG476" s="54"/>
      <c r="ORH476" s="54"/>
      <c r="ORI476" s="54"/>
      <c r="ORJ476" s="54"/>
      <c r="ORK476" s="54"/>
      <c r="ORL476" s="54"/>
      <c r="ORM476" s="54"/>
      <c r="ORN476" s="54"/>
      <c r="ORO476" s="54"/>
      <c r="ORP476" s="54"/>
      <c r="ORQ476" s="54"/>
      <c r="ORR476" s="54"/>
      <c r="ORS476" s="54"/>
      <c r="ORT476" s="54"/>
      <c r="ORU476" s="54"/>
      <c r="ORV476" s="54"/>
      <c r="ORW476" s="54"/>
      <c r="ORX476" s="54"/>
      <c r="ORY476" s="54"/>
      <c r="ORZ476" s="54"/>
      <c r="OSA476" s="54"/>
      <c r="OSB476" s="54"/>
      <c r="OSC476" s="54"/>
      <c r="OSD476" s="54"/>
      <c r="OSE476" s="54"/>
      <c r="OSF476" s="54"/>
      <c r="OSG476" s="54"/>
      <c r="OSH476" s="54"/>
      <c r="OSI476" s="54"/>
      <c r="OSJ476" s="54"/>
      <c r="OSK476" s="54"/>
      <c r="OSL476" s="54"/>
      <c r="OSM476" s="54"/>
      <c r="OSN476" s="54"/>
      <c r="OSO476" s="54"/>
      <c r="OSP476" s="54"/>
      <c r="OSQ476" s="54"/>
      <c r="OSR476" s="54"/>
      <c r="OSS476" s="54"/>
      <c r="OST476" s="54"/>
      <c r="OSU476" s="54"/>
      <c r="OSV476" s="54"/>
      <c r="OSW476" s="54"/>
      <c r="OSX476" s="54"/>
      <c r="OSY476" s="54"/>
      <c r="OSZ476" s="54"/>
      <c r="OTA476" s="54"/>
      <c r="OTB476" s="54"/>
      <c r="OTC476" s="54"/>
      <c r="OTD476" s="54"/>
      <c r="OTE476" s="54"/>
      <c r="OTF476" s="54"/>
      <c r="OTG476" s="54"/>
      <c r="OTH476" s="54"/>
      <c r="OTI476" s="54"/>
      <c r="OTJ476" s="54"/>
      <c r="OTK476" s="54"/>
      <c r="OTL476" s="54"/>
      <c r="OTM476" s="54"/>
      <c r="OTN476" s="54"/>
      <c r="OTO476" s="54"/>
      <c r="OTP476" s="54"/>
      <c r="OTQ476" s="54"/>
      <c r="OTR476" s="54"/>
      <c r="OTS476" s="54"/>
      <c r="OTT476" s="54"/>
      <c r="OTU476" s="54"/>
      <c r="OTV476" s="54"/>
      <c r="OTW476" s="54"/>
      <c r="OTX476" s="54"/>
      <c r="OTY476" s="54"/>
      <c r="OTZ476" s="54"/>
      <c r="OUA476" s="54"/>
      <c r="OUB476" s="54"/>
      <c r="OUC476" s="54"/>
      <c r="OUD476" s="54"/>
      <c r="OUE476" s="54"/>
      <c r="OUF476" s="54"/>
      <c r="OUG476" s="54"/>
      <c r="OUH476" s="54"/>
      <c r="OUI476" s="54"/>
      <c r="OUJ476" s="54"/>
      <c r="OUK476" s="54"/>
      <c r="OUL476" s="54"/>
      <c r="OUM476" s="54"/>
      <c r="OUN476" s="54"/>
      <c r="OUO476" s="54"/>
      <c r="OUP476" s="54"/>
      <c r="OUQ476" s="54"/>
      <c r="OUR476" s="54"/>
      <c r="OUS476" s="54"/>
      <c r="OUT476" s="54"/>
      <c r="OUU476" s="54"/>
      <c r="OUV476" s="54"/>
      <c r="OUW476" s="54"/>
      <c r="OUX476" s="54"/>
      <c r="OUY476" s="54"/>
      <c r="OUZ476" s="54"/>
      <c r="OVA476" s="54"/>
      <c r="OVB476" s="54"/>
      <c r="OVC476" s="54"/>
      <c r="OVD476" s="54"/>
      <c r="OVE476" s="54"/>
      <c r="OVF476" s="54"/>
      <c r="OVG476" s="54"/>
      <c r="OVH476" s="54"/>
      <c r="OVI476" s="54"/>
      <c r="OVJ476" s="54"/>
      <c r="OVK476" s="54"/>
      <c r="OVL476" s="54"/>
      <c r="OVM476" s="54"/>
      <c r="OVN476" s="54"/>
      <c r="OVO476" s="54"/>
      <c r="OVP476" s="54"/>
      <c r="OVQ476" s="54"/>
      <c r="OVR476" s="54"/>
      <c r="OVS476" s="54"/>
      <c r="OVT476" s="54"/>
      <c r="OVU476" s="54"/>
      <c r="OVV476" s="54"/>
      <c r="OVW476" s="54"/>
      <c r="OVX476" s="54"/>
      <c r="OVY476" s="54"/>
      <c r="OVZ476" s="54"/>
      <c r="OWA476" s="54"/>
      <c r="OWB476" s="54"/>
      <c r="OWC476" s="54"/>
      <c r="OWD476" s="54"/>
      <c r="OWE476" s="54"/>
      <c r="OWF476" s="54"/>
      <c r="OWG476" s="54"/>
      <c r="OWH476" s="54"/>
      <c r="OWI476" s="54"/>
      <c r="OWJ476" s="54"/>
      <c r="OWK476" s="54"/>
      <c r="OWL476" s="54"/>
      <c r="OWM476" s="54"/>
      <c r="OWN476" s="54"/>
      <c r="OWO476" s="54"/>
      <c r="OWP476" s="54"/>
      <c r="OWQ476" s="54"/>
      <c r="OWR476" s="54"/>
      <c r="OWS476" s="54"/>
      <c r="OWT476" s="54"/>
      <c r="OWU476" s="54"/>
      <c r="OWV476" s="54"/>
      <c r="OWW476" s="54"/>
      <c r="OWX476" s="54"/>
      <c r="OWY476" s="54"/>
      <c r="OWZ476" s="54"/>
      <c r="OXA476" s="54"/>
      <c r="OXB476" s="54"/>
      <c r="OXC476" s="54"/>
      <c r="OXD476" s="54"/>
      <c r="OXE476" s="54"/>
      <c r="OXF476" s="54"/>
      <c r="OXG476" s="54"/>
      <c r="OXH476" s="54"/>
      <c r="OXI476" s="54"/>
      <c r="OXJ476" s="54"/>
      <c r="OXK476" s="54"/>
      <c r="OXL476" s="54"/>
      <c r="OXM476" s="54"/>
      <c r="OXN476" s="54"/>
      <c r="OXO476" s="54"/>
      <c r="OXP476" s="54"/>
      <c r="OXQ476" s="54"/>
      <c r="OXR476" s="54"/>
      <c r="OXS476" s="54"/>
      <c r="OXT476" s="54"/>
      <c r="OXU476" s="54"/>
      <c r="OXV476" s="54"/>
      <c r="OXW476" s="54"/>
      <c r="OXX476" s="54"/>
      <c r="OXY476" s="54"/>
      <c r="OXZ476" s="54"/>
      <c r="OYA476" s="54"/>
      <c r="OYB476" s="54"/>
      <c r="OYC476" s="54"/>
      <c r="OYD476" s="54"/>
      <c r="OYE476" s="54"/>
      <c r="OYF476" s="54"/>
      <c r="OYG476" s="54"/>
      <c r="OYH476" s="54"/>
      <c r="OYI476" s="54"/>
      <c r="OYJ476" s="54"/>
      <c r="OYK476" s="54"/>
      <c r="OYL476" s="54"/>
      <c r="OYM476" s="54"/>
      <c r="OYN476" s="54"/>
      <c r="OYO476" s="54"/>
      <c r="OYP476" s="54"/>
      <c r="OYQ476" s="54"/>
      <c r="OYR476" s="54"/>
      <c r="OYS476" s="54"/>
      <c r="OYT476" s="54"/>
      <c r="OYU476" s="54"/>
      <c r="OYV476" s="54"/>
      <c r="OYW476" s="54"/>
      <c r="OYX476" s="54"/>
      <c r="OYY476" s="54"/>
      <c r="OYZ476" s="54"/>
      <c r="OZA476" s="54"/>
      <c r="OZB476" s="54"/>
      <c r="OZC476" s="54"/>
      <c r="OZD476" s="54"/>
      <c r="OZE476" s="54"/>
      <c r="OZF476" s="54"/>
      <c r="OZG476" s="54"/>
      <c r="OZH476" s="54"/>
      <c r="OZI476" s="54"/>
      <c r="OZJ476" s="54"/>
      <c r="OZK476" s="54"/>
      <c r="OZL476" s="54"/>
      <c r="OZM476" s="54"/>
      <c r="OZN476" s="54"/>
      <c r="OZO476" s="54"/>
      <c r="OZP476" s="54"/>
      <c r="OZQ476" s="54"/>
      <c r="OZR476" s="54"/>
      <c r="OZS476" s="54"/>
      <c r="OZT476" s="54"/>
      <c r="OZU476" s="54"/>
      <c r="OZV476" s="54"/>
      <c r="OZW476" s="54"/>
      <c r="OZX476" s="54"/>
      <c r="OZY476" s="54"/>
      <c r="OZZ476" s="54"/>
      <c r="PAA476" s="54"/>
      <c r="PAB476" s="54"/>
      <c r="PAC476" s="54"/>
      <c r="PAD476" s="54"/>
      <c r="PAE476" s="54"/>
      <c r="PAF476" s="54"/>
      <c r="PAG476" s="54"/>
      <c r="PAH476" s="54"/>
      <c r="PAI476" s="54"/>
      <c r="PAJ476" s="54"/>
      <c r="PAK476" s="54"/>
      <c r="PAL476" s="54"/>
      <c r="PAM476" s="54"/>
      <c r="PAN476" s="54"/>
      <c r="PAO476" s="54"/>
      <c r="PAP476" s="54"/>
      <c r="PAQ476" s="54"/>
      <c r="PAR476" s="54"/>
      <c r="PAS476" s="54"/>
      <c r="PAT476" s="54"/>
      <c r="PAU476" s="54"/>
      <c r="PAV476" s="54"/>
      <c r="PAW476" s="54"/>
      <c r="PAX476" s="54"/>
      <c r="PAY476" s="54"/>
      <c r="PAZ476" s="54"/>
      <c r="PBA476" s="54"/>
      <c r="PBB476" s="54"/>
      <c r="PBC476" s="54"/>
      <c r="PBD476" s="54"/>
      <c r="PBE476" s="54"/>
      <c r="PBF476" s="54"/>
      <c r="PBG476" s="54"/>
      <c r="PBH476" s="54"/>
      <c r="PBI476" s="54"/>
      <c r="PBJ476" s="54"/>
      <c r="PBK476" s="54"/>
      <c r="PBL476" s="54"/>
      <c r="PBM476" s="54"/>
      <c r="PBN476" s="54"/>
      <c r="PBO476" s="54"/>
      <c r="PBP476" s="54"/>
      <c r="PBQ476" s="54"/>
      <c r="PBR476" s="54"/>
      <c r="PBS476" s="54"/>
      <c r="PBT476" s="54"/>
      <c r="PBU476" s="54"/>
      <c r="PBV476" s="54"/>
      <c r="PBW476" s="54"/>
      <c r="PBX476" s="54"/>
      <c r="PBY476" s="54"/>
      <c r="PBZ476" s="54"/>
      <c r="PCA476" s="54"/>
      <c r="PCB476" s="54"/>
      <c r="PCC476" s="54"/>
      <c r="PCD476" s="54"/>
      <c r="PCE476" s="54"/>
      <c r="PCF476" s="54"/>
      <c r="PCG476" s="54"/>
      <c r="PCH476" s="54"/>
      <c r="PCI476" s="54"/>
      <c r="PCJ476" s="54"/>
      <c r="PCK476" s="54"/>
      <c r="PCL476" s="54"/>
      <c r="PCM476" s="54"/>
      <c r="PCN476" s="54"/>
      <c r="PCO476" s="54"/>
      <c r="PCP476" s="54"/>
      <c r="PCQ476" s="54"/>
      <c r="PCR476" s="54"/>
      <c r="PCS476" s="54"/>
      <c r="PCT476" s="54"/>
      <c r="PCU476" s="54"/>
      <c r="PCV476" s="54"/>
      <c r="PCW476" s="54"/>
      <c r="PCX476" s="54"/>
      <c r="PCY476" s="54"/>
      <c r="PCZ476" s="54"/>
      <c r="PDA476" s="54"/>
      <c r="PDB476" s="54"/>
      <c r="PDC476" s="54"/>
      <c r="PDD476" s="54"/>
      <c r="PDE476" s="54"/>
      <c r="PDF476" s="54"/>
      <c r="PDG476" s="54"/>
      <c r="PDH476" s="54"/>
      <c r="PDI476" s="54"/>
      <c r="PDJ476" s="54"/>
      <c r="PDK476" s="54"/>
      <c r="PDL476" s="54"/>
      <c r="PDM476" s="54"/>
      <c r="PDN476" s="54"/>
      <c r="PDO476" s="54"/>
      <c r="PDP476" s="54"/>
      <c r="PDQ476" s="54"/>
      <c r="PDR476" s="54"/>
      <c r="PDS476" s="54"/>
      <c r="PDT476" s="54"/>
      <c r="PDU476" s="54"/>
      <c r="PDV476" s="54"/>
      <c r="PDW476" s="54"/>
      <c r="PDX476" s="54"/>
      <c r="PDY476" s="54"/>
      <c r="PDZ476" s="54"/>
      <c r="PEA476" s="54"/>
      <c r="PEB476" s="54"/>
      <c r="PEC476" s="54"/>
      <c r="PED476" s="54"/>
      <c r="PEE476" s="54"/>
      <c r="PEF476" s="54"/>
      <c r="PEG476" s="54"/>
      <c r="PEH476" s="54"/>
      <c r="PEI476" s="54"/>
      <c r="PEJ476" s="54"/>
      <c r="PEK476" s="54"/>
      <c r="PEL476" s="54"/>
      <c r="PEM476" s="54"/>
      <c r="PEN476" s="54"/>
      <c r="PEO476" s="54"/>
      <c r="PEP476" s="54"/>
      <c r="PEQ476" s="54"/>
      <c r="PER476" s="54"/>
      <c r="PES476" s="54"/>
      <c r="PET476" s="54"/>
      <c r="PEU476" s="54"/>
      <c r="PEV476" s="54"/>
      <c r="PEW476" s="54"/>
      <c r="PEX476" s="54"/>
      <c r="PEY476" s="54"/>
      <c r="PEZ476" s="54"/>
      <c r="PFA476" s="54"/>
      <c r="PFB476" s="54"/>
      <c r="PFC476" s="54"/>
      <c r="PFD476" s="54"/>
      <c r="PFE476" s="54"/>
      <c r="PFF476" s="54"/>
      <c r="PFG476" s="54"/>
      <c r="PFH476" s="54"/>
      <c r="PFI476" s="54"/>
      <c r="PFJ476" s="54"/>
      <c r="PFK476" s="54"/>
      <c r="PFL476" s="54"/>
      <c r="PFM476" s="54"/>
      <c r="PFN476" s="54"/>
      <c r="PFO476" s="54"/>
      <c r="PFP476" s="54"/>
      <c r="PFQ476" s="54"/>
      <c r="PFR476" s="54"/>
      <c r="PFS476" s="54"/>
      <c r="PFT476" s="54"/>
      <c r="PFU476" s="54"/>
      <c r="PFV476" s="54"/>
      <c r="PFW476" s="54"/>
      <c r="PFX476" s="54"/>
      <c r="PFY476" s="54"/>
      <c r="PFZ476" s="54"/>
      <c r="PGA476" s="54"/>
      <c r="PGB476" s="54"/>
      <c r="PGC476" s="54"/>
      <c r="PGD476" s="54"/>
      <c r="PGE476" s="54"/>
      <c r="PGF476" s="54"/>
      <c r="PGG476" s="54"/>
      <c r="PGH476" s="54"/>
      <c r="PGI476" s="54"/>
      <c r="PGJ476" s="54"/>
      <c r="PGK476" s="54"/>
      <c r="PGL476" s="54"/>
      <c r="PGM476" s="54"/>
      <c r="PGN476" s="54"/>
      <c r="PGO476" s="54"/>
      <c r="PGP476" s="54"/>
      <c r="PGQ476" s="54"/>
      <c r="PGR476" s="54"/>
      <c r="PGS476" s="54"/>
      <c r="PGT476" s="54"/>
      <c r="PGU476" s="54"/>
      <c r="PGV476" s="54"/>
      <c r="PGW476" s="54"/>
      <c r="PGX476" s="54"/>
      <c r="PGY476" s="54"/>
      <c r="PGZ476" s="54"/>
      <c r="PHA476" s="54"/>
      <c r="PHB476" s="54"/>
      <c r="PHC476" s="54"/>
      <c r="PHD476" s="54"/>
      <c r="PHE476" s="54"/>
      <c r="PHF476" s="54"/>
      <c r="PHG476" s="54"/>
      <c r="PHH476" s="54"/>
      <c r="PHI476" s="54"/>
      <c r="PHJ476" s="54"/>
      <c r="PHK476" s="54"/>
      <c r="PHL476" s="54"/>
      <c r="PHM476" s="54"/>
      <c r="PHN476" s="54"/>
      <c r="PHO476" s="54"/>
      <c r="PHP476" s="54"/>
      <c r="PHQ476" s="54"/>
      <c r="PHR476" s="54"/>
      <c r="PHS476" s="54"/>
      <c r="PHT476" s="54"/>
      <c r="PHU476" s="54"/>
      <c r="PHV476" s="54"/>
      <c r="PHW476" s="54"/>
      <c r="PHX476" s="54"/>
      <c r="PHY476" s="54"/>
      <c r="PHZ476" s="54"/>
      <c r="PIA476" s="54"/>
      <c r="PIB476" s="54"/>
      <c r="PIC476" s="54"/>
      <c r="PID476" s="54"/>
      <c r="PIE476" s="54"/>
      <c r="PIF476" s="54"/>
      <c r="PIG476" s="54"/>
      <c r="PIH476" s="54"/>
      <c r="PII476" s="54"/>
      <c r="PIJ476" s="54"/>
      <c r="PIK476" s="54"/>
      <c r="PIL476" s="54"/>
      <c r="PIM476" s="54"/>
      <c r="PIN476" s="54"/>
      <c r="PIO476" s="54"/>
      <c r="PIP476" s="54"/>
      <c r="PIQ476" s="54"/>
      <c r="PIR476" s="54"/>
      <c r="PIS476" s="54"/>
      <c r="PIT476" s="54"/>
      <c r="PIU476" s="54"/>
      <c r="PIV476" s="54"/>
      <c r="PIW476" s="54"/>
      <c r="PIX476" s="54"/>
      <c r="PIY476" s="54"/>
      <c r="PIZ476" s="54"/>
      <c r="PJA476" s="54"/>
      <c r="PJB476" s="54"/>
      <c r="PJC476" s="54"/>
      <c r="PJD476" s="54"/>
      <c r="PJE476" s="54"/>
      <c r="PJF476" s="54"/>
      <c r="PJG476" s="54"/>
      <c r="PJH476" s="54"/>
      <c r="PJI476" s="54"/>
      <c r="PJJ476" s="54"/>
      <c r="PJK476" s="54"/>
      <c r="PJL476" s="54"/>
      <c r="PJM476" s="54"/>
      <c r="PJN476" s="54"/>
      <c r="PJO476" s="54"/>
      <c r="PJP476" s="54"/>
      <c r="PJQ476" s="54"/>
      <c r="PJR476" s="54"/>
      <c r="PJS476" s="54"/>
      <c r="PJT476" s="54"/>
      <c r="PJU476" s="54"/>
      <c r="PJV476" s="54"/>
      <c r="PJW476" s="54"/>
      <c r="PJX476" s="54"/>
      <c r="PJY476" s="54"/>
      <c r="PJZ476" s="54"/>
      <c r="PKA476" s="54"/>
      <c r="PKB476" s="54"/>
      <c r="PKC476" s="54"/>
      <c r="PKD476" s="54"/>
      <c r="PKE476" s="54"/>
      <c r="PKF476" s="54"/>
      <c r="PKG476" s="54"/>
      <c r="PKH476" s="54"/>
      <c r="PKI476" s="54"/>
      <c r="PKJ476" s="54"/>
      <c r="PKK476" s="54"/>
      <c r="PKL476" s="54"/>
      <c r="PKM476" s="54"/>
      <c r="PKN476" s="54"/>
      <c r="PKO476" s="54"/>
      <c r="PKP476" s="54"/>
      <c r="PKQ476" s="54"/>
      <c r="PKR476" s="54"/>
      <c r="PKS476" s="54"/>
      <c r="PKT476" s="54"/>
      <c r="PKU476" s="54"/>
      <c r="PKV476" s="54"/>
      <c r="PKW476" s="54"/>
      <c r="PKX476" s="54"/>
      <c r="PKY476" s="54"/>
      <c r="PKZ476" s="54"/>
      <c r="PLA476" s="54"/>
      <c r="PLB476" s="54"/>
      <c r="PLC476" s="54"/>
      <c r="PLD476" s="54"/>
      <c r="PLE476" s="54"/>
      <c r="PLF476" s="54"/>
      <c r="PLG476" s="54"/>
      <c r="PLH476" s="54"/>
      <c r="PLI476" s="54"/>
      <c r="PLJ476" s="54"/>
      <c r="PLK476" s="54"/>
      <c r="PLL476" s="54"/>
      <c r="PLM476" s="54"/>
      <c r="PLN476" s="54"/>
      <c r="PLO476" s="54"/>
      <c r="PLP476" s="54"/>
      <c r="PLQ476" s="54"/>
      <c r="PLR476" s="54"/>
      <c r="PLS476" s="54"/>
      <c r="PLT476" s="54"/>
      <c r="PLU476" s="54"/>
      <c r="PLV476" s="54"/>
      <c r="PLW476" s="54"/>
      <c r="PLX476" s="54"/>
      <c r="PLY476" s="54"/>
      <c r="PLZ476" s="54"/>
      <c r="PMA476" s="54"/>
      <c r="PMB476" s="54"/>
      <c r="PMC476" s="54"/>
      <c r="PMD476" s="54"/>
      <c r="PME476" s="54"/>
      <c r="PMF476" s="54"/>
      <c r="PMG476" s="54"/>
      <c r="PMH476" s="54"/>
      <c r="PMI476" s="54"/>
      <c r="PMJ476" s="54"/>
      <c r="PMK476" s="54"/>
      <c r="PML476" s="54"/>
      <c r="PMM476" s="54"/>
      <c r="PMN476" s="54"/>
      <c r="PMO476" s="54"/>
      <c r="PMP476" s="54"/>
      <c r="PMQ476" s="54"/>
      <c r="PMR476" s="54"/>
      <c r="PMS476" s="54"/>
      <c r="PMT476" s="54"/>
      <c r="PMU476" s="54"/>
      <c r="PMV476" s="54"/>
      <c r="PMW476" s="54"/>
      <c r="PMX476" s="54"/>
      <c r="PMY476" s="54"/>
      <c r="PMZ476" s="54"/>
      <c r="PNA476" s="54"/>
      <c r="PNB476" s="54"/>
      <c r="PNC476" s="54"/>
      <c r="PND476" s="54"/>
      <c r="PNE476" s="54"/>
      <c r="PNF476" s="54"/>
      <c r="PNG476" s="54"/>
      <c r="PNH476" s="54"/>
      <c r="PNI476" s="54"/>
      <c r="PNJ476" s="54"/>
      <c r="PNK476" s="54"/>
      <c r="PNL476" s="54"/>
      <c r="PNM476" s="54"/>
      <c r="PNN476" s="54"/>
      <c r="PNO476" s="54"/>
      <c r="PNP476" s="54"/>
      <c r="PNQ476" s="54"/>
      <c r="PNR476" s="54"/>
      <c r="PNS476" s="54"/>
      <c r="PNT476" s="54"/>
      <c r="PNU476" s="54"/>
      <c r="PNV476" s="54"/>
      <c r="PNW476" s="54"/>
      <c r="PNX476" s="54"/>
      <c r="PNY476" s="54"/>
      <c r="PNZ476" s="54"/>
      <c r="POA476" s="54"/>
      <c r="POB476" s="54"/>
      <c r="POC476" s="54"/>
      <c r="POD476" s="54"/>
      <c r="POE476" s="54"/>
      <c r="POF476" s="54"/>
      <c r="POG476" s="54"/>
      <c r="POH476" s="54"/>
      <c r="POI476" s="54"/>
      <c r="POJ476" s="54"/>
      <c r="POK476" s="54"/>
      <c r="POL476" s="54"/>
      <c r="POM476" s="54"/>
      <c r="PON476" s="54"/>
      <c r="POO476" s="54"/>
      <c r="POP476" s="54"/>
      <c r="POQ476" s="54"/>
      <c r="POR476" s="54"/>
      <c r="POS476" s="54"/>
      <c r="POT476" s="54"/>
      <c r="POU476" s="54"/>
      <c r="POV476" s="54"/>
      <c r="POW476" s="54"/>
      <c r="POX476" s="54"/>
      <c r="POY476" s="54"/>
      <c r="POZ476" s="54"/>
      <c r="PPA476" s="54"/>
      <c r="PPB476" s="54"/>
      <c r="PPC476" s="54"/>
      <c r="PPD476" s="54"/>
      <c r="PPE476" s="54"/>
      <c r="PPF476" s="54"/>
      <c r="PPG476" s="54"/>
      <c r="PPH476" s="54"/>
      <c r="PPI476" s="54"/>
      <c r="PPJ476" s="54"/>
      <c r="PPK476" s="54"/>
      <c r="PPL476" s="54"/>
      <c r="PPM476" s="54"/>
      <c r="PPN476" s="54"/>
      <c r="PPO476" s="54"/>
      <c r="PPP476" s="54"/>
      <c r="PPQ476" s="54"/>
      <c r="PPR476" s="54"/>
      <c r="PPS476" s="54"/>
      <c r="PPT476" s="54"/>
      <c r="PPU476" s="54"/>
      <c r="PPV476" s="54"/>
      <c r="PPW476" s="54"/>
      <c r="PPX476" s="54"/>
      <c r="PPY476" s="54"/>
      <c r="PPZ476" s="54"/>
      <c r="PQA476" s="54"/>
      <c r="PQB476" s="54"/>
      <c r="PQC476" s="54"/>
      <c r="PQD476" s="54"/>
      <c r="PQE476" s="54"/>
      <c r="PQF476" s="54"/>
      <c r="PQG476" s="54"/>
      <c r="PQH476" s="54"/>
      <c r="PQI476" s="54"/>
      <c r="PQJ476" s="54"/>
      <c r="PQK476" s="54"/>
      <c r="PQL476" s="54"/>
      <c r="PQM476" s="54"/>
      <c r="PQN476" s="54"/>
      <c r="PQO476" s="54"/>
      <c r="PQP476" s="54"/>
      <c r="PQQ476" s="54"/>
      <c r="PQR476" s="54"/>
      <c r="PQS476" s="54"/>
      <c r="PQT476" s="54"/>
      <c r="PQU476" s="54"/>
      <c r="PQV476" s="54"/>
      <c r="PQW476" s="54"/>
      <c r="PQX476" s="54"/>
      <c r="PQY476" s="54"/>
      <c r="PQZ476" s="54"/>
      <c r="PRA476" s="54"/>
      <c r="PRB476" s="54"/>
      <c r="PRC476" s="54"/>
      <c r="PRD476" s="54"/>
      <c r="PRE476" s="54"/>
      <c r="PRF476" s="54"/>
      <c r="PRG476" s="54"/>
      <c r="PRH476" s="54"/>
      <c r="PRI476" s="54"/>
      <c r="PRJ476" s="54"/>
      <c r="PRK476" s="54"/>
      <c r="PRL476" s="54"/>
      <c r="PRM476" s="54"/>
      <c r="PRN476" s="54"/>
      <c r="PRO476" s="54"/>
      <c r="PRP476" s="54"/>
      <c r="PRQ476" s="54"/>
      <c r="PRR476" s="54"/>
      <c r="PRS476" s="54"/>
      <c r="PRT476" s="54"/>
      <c r="PRU476" s="54"/>
      <c r="PRV476" s="54"/>
      <c r="PRW476" s="54"/>
      <c r="PRX476" s="54"/>
      <c r="PRY476" s="54"/>
      <c r="PRZ476" s="54"/>
      <c r="PSA476" s="54"/>
      <c r="PSB476" s="54"/>
      <c r="PSC476" s="54"/>
      <c r="PSD476" s="54"/>
      <c r="PSE476" s="54"/>
      <c r="PSF476" s="54"/>
      <c r="PSG476" s="54"/>
      <c r="PSH476" s="54"/>
      <c r="PSI476" s="54"/>
      <c r="PSJ476" s="54"/>
      <c r="PSK476" s="54"/>
      <c r="PSL476" s="54"/>
      <c r="PSM476" s="54"/>
      <c r="PSN476" s="54"/>
      <c r="PSO476" s="54"/>
      <c r="PSP476" s="54"/>
      <c r="PSQ476" s="54"/>
      <c r="PSR476" s="54"/>
      <c r="PSS476" s="54"/>
      <c r="PST476" s="54"/>
      <c r="PSU476" s="54"/>
      <c r="PSV476" s="54"/>
      <c r="PSW476" s="54"/>
      <c r="PSX476" s="54"/>
      <c r="PSY476" s="54"/>
      <c r="PSZ476" s="54"/>
      <c r="PTA476" s="54"/>
      <c r="PTB476" s="54"/>
      <c r="PTC476" s="54"/>
      <c r="PTD476" s="54"/>
      <c r="PTE476" s="54"/>
      <c r="PTF476" s="54"/>
      <c r="PTG476" s="54"/>
      <c r="PTH476" s="54"/>
      <c r="PTI476" s="54"/>
      <c r="PTJ476" s="54"/>
      <c r="PTK476" s="54"/>
      <c r="PTL476" s="54"/>
      <c r="PTM476" s="54"/>
      <c r="PTN476" s="54"/>
      <c r="PTO476" s="54"/>
      <c r="PTP476" s="54"/>
      <c r="PTQ476" s="54"/>
      <c r="PTR476" s="54"/>
      <c r="PTS476" s="54"/>
      <c r="PTT476" s="54"/>
      <c r="PTU476" s="54"/>
      <c r="PTV476" s="54"/>
      <c r="PTW476" s="54"/>
      <c r="PTX476" s="54"/>
      <c r="PTY476" s="54"/>
      <c r="PTZ476" s="54"/>
      <c r="PUA476" s="54"/>
      <c r="PUB476" s="54"/>
      <c r="PUC476" s="54"/>
      <c r="PUD476" s="54"/>
      <c r="PUE476" s="54"/>
      <c r="PUF476" s="54"/>
      <c r="PUG476" s="54"/>
      <c r="PUH476" s="54"/>
      <c r="PUI476" s="54"/>
      <c r="PUJ476" s="54"/>
      <c r="PUK476" s="54"/>
      <c r="PUL476" s="54"/>
      <c r="PUM476" s="54"/>
      <c r="PUN476" s="54"/>
      <c r="PUO476" s="54"/>
      <c r="PUP476" s="54"/>
      <c r="PUQ476" s="54"/>
      <c r="PUR476" s="54"/>
      <c r="PUS476" s="54"/>
      <c r="PUT476" s="54"/>
      <c r="PUU476" s="54"/>
      <c r="PUV476" s="54"/>
      <c r="PUW476" s="54"/>
      <c r="PUX476" s="54"/>
      <c r="PUY476" s="54"/>
      <c r="PUZ476" s="54"/>
      <c r="PVA476" s="54"/>
      <c r="PVB476" s="54"/>
      <c r="PVC476" s="54"/>
      <c r="PVD476" s="54"/>
      <c r="PVE476" s="54"/>
      <c r="PVF476" s="54"/>
      <c r="PVG476" s="54"/>
      <c r="PVH476" s="54"/>
      <c r="PVI476" s="54"/>
      <c r="PVJ476" s="54"/>
      <c r="PVK476" s="54"/>
      <c r="PVL476" s="54"/>
      <c r="PVM476" s="54"/>
      <c r="PVN476" s="54"/>
      <c r="PVO476" s="54"/>
      <c r="PVP476" s="54"/>
      <c r="PVQ476" s="54"/>
      <c r="PVR476" s="54"/>
      <c r="PVS476" s="54"/>
      <c r="PVT476" s="54"/>
      <c r="PVU476" s="54"/>
      <c r="PVV476" s="54"/>
      <c r="PVW476" s="54"/>
      <c r="PVX476" s="54"/>
      <c r="PVY476" s="54"/>
      <c r="PVZ476" s="54"/>
      <c r="PWA476" s="54"/>
      <c r="PWB476" s="54"/>
      <c r="PWC476" s="54"/>
      <c r="PWD476" s="54"/>
      <c r="PWE476" s="54"/>
      <c r="PWF476" s="54"/>
      <c r="PWG476" s="54"/>
      <c r="PWH476" s="54"/>
      <c r="PWI476" s="54"/>
      <c r="PWJ476" s="54"/>
      <c r="PWK476" s="54"/>
      <c r="PWL476" s="54"/>
      <c r="PWM476" s="54"/>
      <c r="PWN476" s="54"/>
      <c r="PWO476" s="54"/>
      <c r="PWP476" s="54"/>
      <c r="PWQ476" s="54"/>
      <c r="PWR476" s="54"/>
      <c r="PWS476" s="54"/>
      <c r="PWT476" s="54"/>
      <c r="PWU476" s="54"/>
      <c r="PWV476" s="54"/>
      <c r="PWW476" s="54"/>
      <c r="PWX476" s="54"/>
      <c r="PWY476" s="54"/>
      <c r="PWZ476" s="54"/>
      <c r="PXA476" s="54"/>
      <c r="PXB476" s="54"/>
      <c r="PXC476" s="54"/>
      <c r="PXD476" s="54"/>
      <c r="PXE476" s="54"/>
      <c r="PXF476" s="54"/>
      <c r="PXG476" s="54"/>
      <c r="PXH476" s="54"/>
      <c r="PXI476" s="54"/>
      <c r="PXJ476" s="54"/>
      <c r="PXK476" s="54"/>
      <c r="PXL476" s="54"/>
      <c r="PXM476" s="54"/>
      <c r="PXN476" s="54"/>
      <c r="PXO476" s="54"/>
      <c r="PXP476" s="54"/>
      <c r="PXQ476" s="54"/>
      <c r="PXR476" s="54"/>
      <c r="PXS476" s="54"/>
      <c r="PXT476" s="54"/>
      <c r="PXU476" s="54"/>
      <c r="PXV476" s="54"/>
      <c r="PXW476" s="54"/>
      <c r="PXX476" s="54"/>
      <c r="PXY476" s="54"/>
      <c r="PXZ476" s="54"/>
      <c r="PYA476" s="54"/>
      <c r="PYB476" s="54"/>
      <c r="PYC476" s="54"/>
      <c r="PYD476" s="54"/>
      <c r="PYE476" s="54"/>
      <c r="PYF476" s="54"/>
      <c r="PYG476" s="54"/>
      <c r="PYH476" s="54"/>
      <c r="PYI476" s="54"/>
      <c r="PYJ476" s="54"/>
      <c r="PYK476" s="54"/>
      <c r="PYL476" s="54"/>
      <c r="PYM476" s="54"/>
      <c r="PYN476" s="54"/>
      <c r="PYO476" s="54"/>
      <c r="PYP476" s="54"/>
      <c r="PYQ476" s="54"/>
      <c r="PYR476" s="54"/>
      <c r="PYS476" s="54"/>
      <c r="PYT476" s="54"/>
      <c r="PYU476" s="54"/>
      <c r="PYV476" s="54"/>
      <c r="PYW476" s="54"/>
      <c r="PYX476" s="54"/>
      <c r="PYY476" s="54"/>
      <c r="PYZ476" s="54"/>
      <c r="PZA476" s="54"/>
      <c r="PZB476" s="54"/>
      <c r="PZC476" s="54"/>
      <c r="PZD476" s="54"/>
      <c r="PZE476" s="54"/>
      <c r="PZF476" s="54"/>
      <c r="PZG476" s="54"/>
      <c r="PZH476" s="54"/>
      <c r="PZI476" s="54"/>
      <c r="PZJ476" s="54"/>
      <c r="PZK476" s="54"/>
      <c r="PZL476" s="54"/>
      <c r="PZM476" s="54"/>
      <c r="PZN476" s="54"/>
      <c r="PZO476" s="54"/>
      <c r="PZP476" s="54"/>
      <c r="PZQ476" s="54"/>
      <c r="PZR476" s="54"/>
      <c r="PZS476" s="54"/>
      <c r="PZT476" s="54"/>
      <c r="PZU476" s="54"/>
      <c r="PZV476" s="54"/>
      <c r="PZW476" s="54"/>
      <c r="PZX476" s="54"/>
      <c r="PZY476" s="54"/>
      <c r="PZZ476" s="54"/>
      <c r="QAA476" s="54"/>
      <c r="QAB476" s="54"/>
      <c r="QAC476" s="54"/>
      <c r="QAD476" s="54"/>
      <c r="QAE476" s="54"/>
      <c r="QAF476" s="54"/>
      <c r="QAG476" s="54"/>
      <c r="QAH476" s="54"/>
      <c r="QAI476" s="54"/>
      <c r="QAJ476" s="54"/>
      <c r="QAK476" s="54"/>
      <c r="QAL476" s="54"/>
      <c r="QAM476" s="54"/>
      <c r="QAN476" s="54"/>
      <c r="QAO476" s="54"/>
      <c r="QAP476" s="54"/>
      <c r="QAQ476" s="54"/>
      <c r="QAR476" s="54"/>
      <c r="QAS476" s="54"/>
      <c r="QAT476" s="54"/>
      <c r="QAU476" s="54"/>
      <c r="QAV476" s="54"/>
      <c r="QAW476" s="54"/>
      <c r="QAX476" s="54"/>
      <c r="QAY476" s="54"/>
      <c r="QAZ476" s="54"/>
      <c r="QBA476" s="54"/>
      <c r="QBB476" s="54"/>
      <c r="QBC476" s="54"/>
      <c r="QBD476" s="54"/>
      <c r="QBE476" s="54"/>
      <c r="QBF476" s="54"/>
      <c r="QBG476" s="54"/>
      <c r="QBH476" s="54"/>
      <c r="QBI476" s="54"/>
      <c r="QBJ476" s="54"/>
      <c r="QBK476" s="54"/>
      <c r="QBL476" s="54"/>
      <c r="QBM476" s="54"/>
      <c r="QBN476" s="54"/>
      <c r="QBO476" s="54"/>
      <c r="QBP476" s="54"/>
      <c r="QBQ476" s="54"/>
      <c r="QBR476" s="54"/>
      <c r="QBS476" s="54"/>
      <c r="QBT476" s="54"/>
      <c r="QBU476" s="54"/>
      <c r="QBV476" s="54"/>
      <c r="QBW476" s="54"/>
      <c r="QBX476" s="54"/>
      <c r="QBY476" s="54"/>
      <c r="QBZ476" s="54"/>
      <c r="QCA476" s="54"/>
      <c r="QCB476" s="54"/>
      <c r="QCC476" s="54"/>
      <c r="QCD476" s="54"/>
      <c r="QCE476" s="54"/>
      <c r="QCF476" s="54"/>
      <c r="QCG476" s="54"/>
      <c r="QCH476" s="54"/>
      <c r="QCI476" s="54"/>
      <c r="QCJ476" s="54"/>
      <c r="QCK476" s="54"/>
      <c r="QCL476" s="54"/>
      <c r="QCM476" s="54"/>
      <c r="QCN476" s="54"/>
      <c r="QCO476" s="54"/>
      <c r="QCP476" s="54"/>
      <c r="QCQ476" s="54"/>
      <c r="QCR476" s="54"/>
      <c r="QCS476" s="54"/>
      <c r="QCT476" s="54"/>
      <c r="QCU476" s="54"/>
      <c r="QCV476" s="54"/>
      <c r="QCW476" s="54"/>
      <c r="QCX476" s="54"/>
      <c r="QCY476" s="54"/>
      <c r="QCZ476" s="54"/>
      <c r="QDA476" s="54"/>
      <c r="QDB476" s="54"/>
      <c r="QDC476" s="54"/>
      <c r="QDD476" s="54"/>
      <c r="QDE476" s="54"/>
      <c r="QDF476" s="54"/>
      <c r="QDG476" s="54"/>
      <c r="QDH476" s="54"/>
      <c r="QDI476" s="54"/>
      <c r="QDJ476" s="54"/>
      <c r="QDK476" s="54"/>
      <c r="QDL476" s="54"/>
      <c r="QDM476" s="54"/>
      <c r="QDN476" s="54"/>
      <c r="QDO476" s="54"/>
      <c r="QDP476" s="54"/>
      <c r="QDQ476" s="54"/>
      <c r="QDR476" s="54"/>
      <c r="QDS476" s="54"/>
      <c r="QDT476" s="54"/>
      <c r="QDU476" s="54"/>
      <c r="QDV476" s="54"/>
      <c r="QDW476" s="54"/>
      <c r="QDX476" s="54"/>
      <c r="QDY476" s="54"/>
      <c r="QDZ476" s="54"/>
      <c r="QEA476" s="54"/>
      <c r="QEB476" s="54"/>
      <c r="QEC476" s="54"/>
      <c r="QED476" s="54"/>
      <c r="QEE476" s="54"/>
      <c r="QEF476" s="54"/>
      <c r="QEG476" s="54"/>
      <c r="QEH476" s="54"/>
      <c r="QEI476" s="54"/>
      <c r="QEJ476" s="54"/>
      <c r="QEK476" s="54"/>
      <c r="QEL476" s="54"/>
      <c r="QEM476" s="54"/>
      <c r="QEN476" s="54"/>
      <c r="QEO476" s="54"/>
      <c r="QEP476" s="54"/>
      <c r="QEQ476" s="54"/>
      <c r="QER476" s="54"/>
      <c r="QES476" s="54"/>
      <c r="QET476" s="54"/>
      <c r="QEU476" s="54"/>
      <c r="QEV476" s="54"/>
      <c r="QEW476" s="54"/>
      <c r="QEX476" s="54"/>
      <c r="QEY476" s="54"/>
      <c r="QEZ476" s="54"/>
      <c r="QFA476" s="54"/>
      <c r="QFB476" s="54"/>
      <c r="QFC476" s="54"/>
      <c r="QFD476" s="54"/>
      <c r="QFE476" s="54"/>
      <c r="QFF476" s="54"/>
      <c r="QFG476" s="54"/>
      <c r="QFH476" s="54"/>
      <c r="QFI476" s="54"/>
      <c r="QFJ476" s="54"/>
      <c r="QFK476" s="54"/>
      <c r="QFL476" s="54"/>
      <c r="QFM476" s="54"/>
      <c r="QFN476" s="54"/>
      <c r="QFO476" s="54"/>
      <c r="QFP476" s="54"/>
      <c r="QFQ476" s="54"/>
      <c r="QFR476" s="54"/>
      <c r="QFS476" s="54"/>
      <c r="QFT476" s="54"/>
      <c r="QFU476" s="54"/>
      <c r="QFV476" s="54"/>
      <c r="QFW476" s="54"/>
      <c r="QFX476" s="54"/>
      <c r="QFY476" s="54"/>
      <c r="QFZ476" s="54"/>
      <c r="QGA476" s="54"/>
      <c r="QGB476" s="54"/>
      <c r="QGC476" s="54"/>
      <c r="QGD476" s="54"/>
      <c r="QGE476" s="54"/>
      <c r="QGF476" s="54"/>
      <c r="QGG476" s="54"/>
      <c r="QGH476" s="54"/>
      <c r="QGI476" s="54"/>
      <c r="QGJ476" s="54"/>
      <c r="QGK476" s="54"/>
      <c r="QGL476" s="54"/>
      <c r="QGM476" s="54"/>
      <c r="QGN476" s="54"/>
      <c r="QGO476" s="54"/>
      <c r="QGP476" s="54"/>
      <c r="QGQ476" s="54"/>
      <c r="QGR476" s="54"/>
      <c r="QGS476" s="54"/>
      <c r="QGT476" s="54"/>
      <c r="QGU476" s="54"/>
      <c r="QGV476" s="54"/>
      <c r="QGW476" s="54"/>
      <c r="QGX476" s="54"/>
      <c r="QGY476" s="54"/>
      <c r="QGZ476" s="54"/>
      <c r="QHA476" s="54"/>
      <c r="QHB476" s="54"/>
      <c r="QHC476" s="54"/>
      <c r="QHD476" s="54"/>
      <c r="QHE476" s="54"/>
      <c r="QHF476" s="54"/>
      <c r="QHG476" s="54"/>
      <c r="QHH476" s="54"/>
      <c r="QHI476" s="54"/>
      <c r="QHJ476" s="54"/>
      <c r="QHK476" s="54"/>
      <c r="QHL476" s="54"/>
      <c r="QHM476" s="54"/>
      <c r="QHN476" s="54"/>
      <c r="QHO476" s="54"/>
      <c r="QHP476" s="54"/>
      <c r="QHQ476" s="54"/>
      <c r="QHR476" s="54"/>
      <c r="QHS476" s="54"/>
      <c r="QHT476" s="54"/>
      <c r="QHU476" s="54"/>
      <c r="QHV476" s="54"/>
      <c r="QHW476" s="54"/>
      <c r="QHX476" s="54"/>
      <c r="QHY476" s="54"/>
      <c r="QHZ476" s="54"/>
      <c r="QIA476" s="54"/>
      <c r="QIB476" s="54"/>
      <c r="QIC476" s="54"/>
      <c r="QID476" s="54"/>
      <c r="QIE476" s="54"/>
      <c r="QIF476" s="54"/>
      <c r="QIG476" s="54"/>
      <c r="QIH476" s="54"/>
      <c r="QII476" s="54"/>
      <c r="QIJ476" s="54"/>
      <c r="QIK476" s="54"/>
      <c r="QIL476" s="54"/>
      <c r="QIM476" s="54"/>
      <c r="QIN476" s="54"/>
      <c r="QIO476" s="54"/>
      <c r="QIP476" s="54"/>
      <c r="QIQ476" s="54"/>
      <c r="QIR476" s="54"/>
      <c r="QIS476" s="54"/>
      <c r="QIT476" s="54"/>
      <c r="QIU476" s="54"/>
      <c r="QIV476" s="54"/>
      <c r="QIW476" s="54"/>
      <c r="QIX476" s="54"/>
      <c r="QIY476" s="54"/>
      <c r="QIZ476" s="54"/>
      <c r="QJA476" s="54"/>
      <c r="QJB476" s="54"/>
      <c r="QJC476" s="54"/>
      <c r="QJD476" s="54"/>
      <c r="QJE476" s="54"/>
      <c r="QJF476" s="54"/>
      <c r="QJG476" s="54"/>
      <c r="QJH476" s="54"/>
      <c r="QJI476" s="54"/>
      <c r="QJJ476" s="54"/>
      <c r="QJK476" s="54"/>
      <c r="QJL476" s="54"/>
      <c r="QJM476" s="54"/>
      <c r="QJN476" s="54"/>
      <c r="QJO476" s="54"/>
      <c r="QJP476" s="54"/>
      <c r="QJQ476" s="54"/>
      <c r="QJR476" s="54"/>
      <c r="QJS476" s="54"/>
      <c r="QJT476" s="54"/>
      <c r="QJU476" s="54"/>
      <c r="QJV476" s="54"/>
      <c r="QJW476" s="54"/>
      <c r="QJX476" s="54"/>
      <c r="QJY476" s="54"/>
      <c r="QJZ476" s="54"/>
      <c r="QKA476" s="54"/>
      <c r="QKB476" s="54"/>
      <c r="QKC476" s="54"/>
      <c r="QKD476" s="54"/>
      <c r="QKE476" s="54"/>
      <c r="QKF476" s="54"/>
      <c r="QKG476" s="54"/>
      <c r="QKH476" s="54"/>
      <c r="QKI476" s="54"/>
      <c r="QKJ476" s="54"/>
      <c r="QKK476" s="54"/>
      <c r="QKL476" s="54"/>
      <c r="QKM476" s="54"/>
      <c r="QKN476" s="54"/>
      <c r="QKO476" s="54"/>
      <c r="QKP476" s="54"/>
      <c r="QKQ476" s="54"/>
      <c r="QKR476" s="54"/>
      <c r="QKS476" s="54"/>
      <c r="QKT476" s="54"/>
      <c r="QKU476" s="54"/>
      <c r="QKV476" s="54"/>
      <c r="QKW476" s="54"/>
      <c r="QKX476" s="54"/>
      <c r="QKY476" s="54"/>
      <c r="QKZ476" s="54"/>
      <c r="QLA476" s="54"/>
      <c r="QLB476" s="54"/>
      <c r="QLC476" s="54"/>
      <c r="QLD476" s="54"/>
      <c r="QLE476" s="54"/>
      <c r="QLF476" s="54"/>
      <c r="QLG476" s="54"/>
      <c r="QLH476" s="54"/>
      <c r="QLI476" s="54"/>
      <c r="QLJ476" s="54"/>
      <c r="QLK476" s="54"/>
      <c r="QLL476" s="54"/>
      <c r="QLM476" s="54"/>
      <c r="QLN476" s="54"/>
      <c r="QLO476" s="54"/>
      <c r="QLP476" s="54"/>
      <c r="QLQ476" s="54"/>
      <c r="QLR476" s="54"/>
      <c r="QLS476" s="54"/>
      <c r="QLT476" s="54"/>
      <c r="QLU476" s="54"/>
      <c r="QLV476" s="54"/>
      <c r="QLW476" s="54"/>
      <c r="QLX476" s="54"/>
      <c r="QLY476" s="54"/>
      <c r="QLZ476" s="54"/>
      <c r="QMA476" s="54"/>
      <c r="QMB476" s="54"/>
      <c r="QMC476" s="54"/>
      <c r="QMD476" s="54"/>
      <c r="QME476" s="54"/>
      <c r="QMF476" s="54"/>
      <c r="QMG476" s="54"/>
      <c r="QMH476" s="54"/>
      <c r="QMI476" s="54"/>
      <c r="QMJ476" s="54"/>
      <c r="QMK476" s="54"/>
      <c r="QML476" s="54"/>
      <c r="QMM476" s="54"/>
      <c r="QMN476" s="54"/>
      <c r="QMO476" s="54"/>
      <c r="QMP476" s="54"/>
      <c r="QMQ476" s="54"/>
      <c r="QMR476" s="54"/>
      <c r="QMS476" s="54"/>
      <c r="QMT476" s="54"/>
      <c r="QMU476" s="54"/>
      <c r="QMV476" s="54"/>
      <c r="QMW476" s="54"/>
      <c r="QMX476" s="54"/>
      <c r="QMY476" s="54"/>
      <c r="QMZ476" s="54"/>
      <c r="QNA476" s="54"/>
      <c r="QNB476" s="54"/>
      <c r="QNC476" s="54"/>
      <c r="QND476" s="54"/>
      <c r="QNE476" s="54"/>
      <c r="QNF476" s="54"/>
      <c r="QNG476" s="54"/>
      <c r="QNH476" s="54"/>
      <c r="QNI476" s="54"/>
      <c r="QNJ476" s="54"/>
      <c r="QNK476" s="54"/>
      <c r="QNL476" s="54"/>
      <c r="QNM476" s="54"/>
      <c r="QNN476" s="54"/>
      <c r="QNO476" s="54"/>
      <c r="QNP476" s="54"/>
      <c r="QNQ476" s="54"/>
      <c r="QNR476" s="54"/>
      <c r="QNS476" s="54"/>
      <c r="QNT476" s="54"/>
      <c r="QNU476" s="54"/>
      <c r="QNV476" s="54"/>
      <c r="QNW476" s="54"/>
      <c r="QNX476" s="54"/>
      <c r="QNY476" s="54"/>
      <c r="QNZ476" s="54"/>
      <c r="QOA476" s="54"/>
      <c r="QOB476" s="54"/>
      <c r="QOC476" s="54"/>
      <c r="QOD476" s="54"/>
      <c r="QOE476" s="54"/>
      <c r="QOF476" s="54"/>
      <c r="QOG476" s="54"/>
      <c r="QOH476" s="54"/>
      <c r="QOI476" s="54"/>
      <c r="QOJ476" s="54"/>
      <c r="QOK476" s="54"/>
      <c r="QOL476" s="54"/>
      <c r="QOM476" s="54"/>
      <c r="QON476" s="54"/>
      <c r="QOO476" s="54"/>
      <c r="QOP476" s="54"/>
      <c r="QOQ476" s="54"/>
      <c r="QOR476" s="54"/>
      <c r="QOS476" s="54"/>
      <c r="QOT476" s="54"/>
      <c r="QOU476" s="54"/>
      <c r="QOV476" s="54"/>
      <c r="QOW476" s="54"/>
      <c r="QOX476" s="54"/>
      <c r="QOY476" s="54"/>
      <c r="QOZ476" s="54"/>
      <c r="QPA476" s="54"/>
      <c r="QPB476" s="54"/>
      <c r="QPC476" s="54"/>
      <c r="QPD476" s="54"/>
      <c r="QPE476" s="54"/>
      <c r="QPF476" s="54"/>
      <c r="QPG476" s="54"/>
      <c r="QPH476" s="54"/>
      <c r="QPI476" s="54"/>
      <c r="QPJ476" s="54"/>
      <c r="QPK476" s="54"/>
      <c r="QPL476" s="54"/>
      <c r="QPM476" s="54"/>
      <c r="QPN476" s="54"/>
      <c r="QPO476" s="54"/>
      <c r="QPP476" s="54"/>
      <c r="QPQ476" s="54"/>
      <c r="QPR476" s="54"/>
      <c r="QPS476" s="54"/>
      <c r="QPT476" s="54"/>
      <c r="QPU476" s="54"/>
      <c r="QPV476" s="54"/>
      <c r="QPW476" s="54"/>
      <c r="QPX476" s="54"/>
      <c r="QPY476" s="54"/>
      <c r="QPZ476" s="54"/>
      <c r="QQA476" s="54"/>
      <c r="QQB476" s="54"/>
      <c r="QQC476" s="54"/>
      <c r="QQD476" s="54"/>
      <c r="QQE476" s="54"/>
      <c r="QQF476" s="54"/>
      <c r="QQG476" s="54"/>
      <c r="QQH476" s="54"/>
      <c r="QQI476" s="54"/>
      <c r="QQJ476" s="54"/>
      <c r="QQK476" s="54"/>
      <c r="QQL476" s="54"/>
      <c r="QQM476" s="54"/>
      <c r="QQN476" s="54"/>
      <c r="QQO476" s="54"/>
      <c r="QQP476" s="54"/>
      <c r="QQQ476" s="54"/>
      <c r="QQR476" s="54"/>
      <c r="QQS476" s="54"/>
      <c r="QQT476" s="54"/>
      <c r="QQU476" s="54"/>
      <c r="QQV476" s="54"/>
      <c r="QQW476" s="54"/>
      <c r="QQX476" s="54"/>
      <c r="QQY476" s="54"/>
      <c r="QQZ476" s="54"/>
      <c r="QRA476" s="54"/>
      <c r="QRB476" s="54"/>
      <c r="QRC476" s="54"/>
      <c r="QRD476" s="54"/>
      <c r="QRE476" s="54"/>
      <c r="QRF476" s="54"/>
      <c r="QRG476" s="54"/>
      <c r="QRH476" s="54"/>
      <c r="QRI476" s="54"/>
      <c r="QRJ476" s="54"/>
      <c r="QRK476" s="54"/>
      <c r="QRL476" s="54"/>
      <c r="QRM476" s="54"/>
      <c r="QRN476" s="54"/>
      <c r="QRO476" s="54"/>
      <c r="QRP476" s="54"/>
      <c r="QRQ476" s="54"/>
      <c r="QRR476" s="54"/>
      <c r="QRS476" s="54"/>
      <c r="QRT476" s="54"/>
      <c r="QRU476" s="54"/>
      <c r="QRV476" s="54"/>
      <c r="QRW476" s="54"/>
      <c r="QRX476" s="54"/>
      <c r="QRY476" s="54"/>
      <c r="QRZ476" s="54"/>
      <c r="QSA476" s="54"/>
      <c r="QSB476" s="54"/>
      <c r="QSC476" s="54"/>
      <c r="QSD476" s="54"/>
      <c r="QSE476" s="54"/>
      <c r="QSF476" s="54"/>
      <c r="QSG476" s="54"/>
      <c r="QSH476" s="54"/>
      <c r="QSI476" s="54"/>
      <c r="QSJ476" s="54"/>
      <c r="QSK476" s="54"/>
      <c r="QSL476" s="54"/>
      <c r="QSM476" s="54"/>
      <c r="QSN476" s="54"/>
      <c r="QSO476" s="54"/>
      <c r="QSP476" s="54"/>
      <c r="QSQ476" s="54"/>
      <c r="QSR476" s="54"/>
      <c r="QSS476" s="54"/>
      <c r="QST476" s="54"/>
      <c r="QSU476" s="54"/>
      <c r="QSV476" s="54"/>
      <c r="QSW476" s="54"/>
      <c r="QSX476" s="54"/>
      <c r="QSY476" s="54"/>
      <c r="QSZ476" s="54"/>
      <c r="QTA476" s="54"/>
      <c r="QTB476" s="54"/>
      <c r="QTC476" s="54"/>
      <c r="QTD476" s="54"/>
      <c r="QTE476" s="54"/>
      <c r="QTF476" s="54"/>
      <c r="QTG476" s="54"/>
      <c r="QTH476" s="54"/>
      <c r="QTI476" s="54"/>
      <c r="QTJ476" s="54"/>
      <c r="QTK476" s="54"/>
      <c r="QTL476" s="54"/>
      <c r="QTM476" s="54"/>
      <c r="QTN476" s="54"/>
      <c r="QTO476" s="54"/>
      <c r="QTP476" s="54"/>
      <c r="QTQ476" s="54"/>
      <c r="QTR476" s="54"/>
      <c r="QTS476" s="54"/>
      <c r="QTT476" s="54"/>
      <c r="QTU476" s="54"/>
      <c r="QTV476" s="54"/>
      <c r="QTW476" s="54"/>
      <c r="QTX476" s="54"/>
      <c r="QTY476" s="54"/>
      <c r="QTZ476" s="54"/>
      <c r="QUA476" s="54"/>
      <c r="QUB476" s="54"/>
      <c r="QUC476" s="54"/>
      <c r="QUD476" s="54"/>
      <c r="QUE476" s="54"/>
      <c r="QUF476" s="54"/>
      <c r="QUG476" s="54"/>
      <c r="QUH476" s="54"/>
      <c r="QUI476" s="54"/>
      <c r="QUJ476" s="54"/>
      <c r="QUK476" s="54"/>
      <c r="QUL476" s="54"/>
      <c r="QUM476" s="54"/>
      <c r="QUN476" s="54"/>
      <c r="QUO476" s="54"/>
      <c r="QUP476" s="54"/>
      <c r="QUQ476" s="54"/>
      <c r="QUR476" s="54"/>
      <c r="QUS476" s="54"/>
      <c r="QUT476" s="54"/>
      <c r="QUU476" s="54"/>
      <c r="QUV476" s="54"/>
      <c r="QUW476" s="54"/>
      <c r="QUX476" s="54"/>
      <c r="QUY476" s="54"/>
      <c r="QUZ476" s="54"/>
      <c r="QVA476" s="54"/>
      <c r="QVB476" s="54"/>
      <c r="QVC476" s="54"/>
      <c r="QVD476" s="54"/>
      <c r="QVE476" s="54"/>
      <c r="QVF476" s="54"/>
      <c r="QVG476" s="54"/>
      <c r="QVH476" s="54"/>
      <c r="QVI476" s="54"/>
      <c r="QVJ476" s="54"/>
      <c r="QVK476" s="54"/>
      <c r="QVL476" s="54"/>
      <c r="QVM476" s="54"/>
      <c r="QVN476" s="54"/>
      <c r="QVO476" s="54"/>
      <c r="QVP476" s="54"/>
      <c r="QVQ476" s="54"/>
      <c r="QVR476" s="54"/>
      <c r="QVS476" s="54"/>
      <c r="QVT476" s="54"/>
      <c r="QVU476" s="54"/>
      <c r="QVV476" s="54"/>
      <c r="QVW476" s="54"/>
      <c r="QVX476" s="54"/>
      <c r="QVY476" s="54"/>
      <c r="QVZ476" s="54"/>
      <c r="QWA476" s="54"/>
      <c r="QWB476" s="54"/>
      <c r="QWC476" s="54"/>
      <c r="QWD476" s="54"/>
      <c r="QWE476" s="54"/>
      <c r="QWF476" s="54"/>
      <c r="QWG476" s="54"/>
      <c r="QWH476" s="54"/>
      <c r="QWI476" s="54"/>
      <c r="QWJ476" s="54"/>
      <c r="QWK476" s="54"/>
      <c r="QWL476" s="54"/>
      <c r="QWM476" s="54"/>
      <c r="QWN476" s="54"/>
      <c r="QWO476" s="54"/>
      <c r="QWP476" s="54"/>
      <c r="QWQ476" s="54"/>
      <c r="QWR476" s="54"/>
      <c r="QWS476" s="54"/>
      <c r="QWT476" s="54"/>
      <c r="QWU476" s="54"/>
      <c r="QWV476" s="54"/>
      <c r="QWW476" s="54"/>
      <c r="QWX476" s="54"/>
      <c r="QWY476" s="54"/>
      <c r="QWZ476" s="54"/>
      <c r="QXA476" s="54"/>
      <c r="QXB476" s="54"/>
      <c r="QXC476" s="54"/>
      <c r="QXD476" s="54"/>
      <c r="QXE476" s="54"/>
      <c r="QXF476" s="54"/>
      <c r="QXG476" s="54"/>
      <c r="QXH476" s="54"/>
      <c r="QXI476" s="54"/>
      <c r="QXJ476" s="54"/>
      <c r="QXK476" s="54"/>
      <c r="QXL476" s="54"/>
      <c r="QXM476" s="54"/>
      <c r="QXN476" s="54"/>
      <c r="QXO476" s="54"/>
      <c r="QXP476" s="54"/>
      <c r="QXQ476" s="54"/>
      <c r="QXR476" s="54"/>
      <c r="QXS476" s="54"/>
      <c r="QXT476" s="54"/>
      <c r="QXU476" s="54"/>
      <c r="QXV476" s="54"/>
      <c r="QXW476" s="54"/>
      <c r="QXX476" s="54"/>
      <c r="QXY476" s="54"/>
      <c r="QXZ476" s="54"/>
      <c r="QYA476" s="54"/>
      <c r="QYB476" s="54"/>
      <c r="QYC476" s="54"/>
      <c r="QYD476" s="54"/>
      <c r="QYE476" s="54"/>
      <c r="QYF476" s="54"/>
      <c r="QYG476" s="54"/>
      <c r="QYH476" s="54"/>
      <c r="QYI476" s="54"/>
      <c r="QYJ476" s="54"/>
      <c r="QYK476" s="54"/>
      <c r="QYL476" s="54"/>
      <c r="QYM476" s="54"/>
      <c r="QYN476" s="54"/>
      <c r="QYO476" s="54"/>
      <c r="QYP476" s="54"/>
      <c r="QYQ476" s="54"/>
      <c r="QYR476" s="54"/>
      <c r="QYS476" s="54"/>
      <c r="QYT476" s="54"/>
      <c r="QYU476" s="54"/>
      <c r="QYV476" s="54"/>
      <c r="QYW476" s="54"/>
      <c r="QYX476" s="54"/>
      <c r="QYY476" s="54"/>
      <c r="QYZ476" s="54"/>
      <c r="QZA476" s="54"/>
      <c r="QZB476" s="54"/>
      <c r="QZC476" s="54"/>
      <c r="QZD476" s="54"/>
      <c r="QZE476" s="54"/>
      <c r="QZF476" s="54"/>
      <c r="QZG476" s="54"/>
      <c r="QZH476" s="54"/>
      <c r="QZI476" s="54"/>
      <c r="QZJ476" s="54"/>
      <c r="QZK476" s="54"/>
      <c r="QZL476" s="54"/>
      <c r="QZM476" s="54"/>
      <c r="QZN476" s="54"/>
      <c r="QZO476" s="54"/>
      <c r="QZP476" s="54"/>
      <c r="QZQ476" s="54"/>
      <c r="QZR476" s="54"/>
      <c r="QZS476" s="54"/>
      <c r="QZT476" s="54"/>
      <c r="QZU476" s="54"/>
      <c r="QZV476" s="54"/>
      <c r="QZW476" s="54"/>
      <c r="QZX476" s="54"/>
      <c r="QZY476" s="54"/>
      <c r="QZZ476" s="54"/>
      <c r="RAA476" s="54"/>
      <c r="RAB476" s="54"/>
      <c r="RAC476" s="54"/>
      <c r="RAD476" s="54"/>
      <c r="RAE476" s="54"/>
      <c r="RAF476" s="54"/>
      <c r="RAG476" s="54"/>
      <c r="RAH476" s="54"/>
      <c r="RAI476" s="54"/>
      <c r="RAJ476" s="54"/>
      <c r="RAK476" s="54"/>
      <c r="RAL476" s="54"/>
      <c r="RAM476" s="54"/>
      <c r="RAN476" s="54"/>
      <c r="RAO476" s="54"/>
      <c r="RAP476" s="54"/>
      <c r="RAQ476" s="54"/>
      <c r="RAR476" s="54"/>
      <c r="RAS476" s="54"/>
      <c r="RAT476" s="54"/>
      <c r="RAU476" s="54"/>
      <c r="RAV476" s="54"/>
      <c r="RAW476" s="54"/>
      <c r="RAX476" s="54"/>
      <c r="RAY476" s="54"/>
      <c r="RAZ476" s="54"/>
      <c r="RBA476" s="54"/>
      <c r="RBB476" s="54"/>
      <c r="RBC476" s="54"/>
      <c r="RBD476" s="54"/>
      <c r="RBE476" s="54"/>
      <c r="RBF476" s="54"/>
      <c r="RBG476" s="54"/>
      <c r="RBH476" s="54"/>
      <c r="RBI476" s="54"/>
      <c r="RBJ476" s="54"/>
      <c r="RBK476" s="54"/>
      <c r="RBL476" s="54"/>
      <c r="RBM476" s="54"/>
      <c r="RBN476" s="54"/>
      <c r="RBO476" s="54"/>
      <c r="RBP476" s="54"/>
      <c r="RBQ476" s="54"/>
      <c r="RBR476" s="54"/>
      <c r="RBS476" s="54"/>
      <c r="RBT476" s="54"/>
      <c r="RBU476" s="54"/>
      <c r="RBV476" s="54"/>
      <c r="RBW476" s="54"/>
      <c r="RBX476" s="54"/>
      <c r="RBY476" s="54"/>
      <c r="RBZ476" s="54"/>
      <c r="RCA476" s="54"/>
      <c r="RCB476" s="54"/>
      <c r="RCC476" s="54"/>
      <c r="RCD476" s="54"/>
      <c r="RCE476" s="54"/>
      <c r="RCF476" s="54"/>
      <c r="RCG476" s="54"/>
      <c r="RCH476" s="54"/>
      <c r="RCI476" s="54"/>
      <c r="RCJ476" s="54"/>
      <c r="RCK476" s="54"/>
      <c r="RCL476" s="54"/>
      <c r="RCM476" s="54"/>
      <c r="RCN476" s="54"/>
      <c r="RCO476" s="54"/>
      <c r="RCP476" s="54"/>
      <c r="RCQ476" s="54"/>
      <c r="RCR476" s="54"/>
      <c r="RCS476" s="54"/>
      <c r="RCT476" s="54"/>
      <c r="RCU476" s="54"/>
      <c r="RCV476" s="54"/>
      <c r="RCW476" s="54"/>
      <c r="RCX476" s="54"/>
      <c r="RCY476" s="54"/>
      <c r="RCZ476" s="54"/>
      <c r="RDA476" s="54"/>
      <c r="RDB476" s="54"/>
      <c r="RDC476" s="54"/>
      <c r="RDD476" s="54"/>
      <c r="RDE476" s="54"/>
      <c r="RDF476" s="54"/>
      <c r="RDG476" s="54"/>
      <c r="RDH476" s="54"/>
      <c r="RDI476" s="54"/>
      <c r="RDJ476" s="54"/>
      <c r="RDK476" s="54"/>
      <c r="RDL476" s="54"/>
      <c r="RDM476" s="54"/>
      <c r="RDN476" s="54"/>
      <c r="RDO476" s="54"/>
      <c r="RDP476" s="54"/>
      <c r="RDQ476" s="54"/>
      <c r="RDR476" s="54"/>
      <c r="RDS476" s="54"/>
      <c r="RDT476" s="54"/>
      <c r="RDU476" s="54"/>
      <c r="RDV476" s="54"/>
      <c r="RDW476" s="54"/>
      <c r="RDX476" s="54"/>
      <c r="RDY476" s="54"/>
      <c r="RDZ476" s="54"/>
      <c r="REA476" s="54"/>
      <c r="REB476" s="54"/>
      <c r="REC476" s="54"/>
      <c r="RED476" s="54"/>
      <c r="REE476" s="54"/>
      <c r="REF476" s="54"/>
      <c r="REG476" s="54"/>
      <c r="REH476" s="54"/>
      <c r="REI476" s="54"/>
      <c r="REJ476" s="54"/>
      <c r="REK476" s="54"/>
      <c r="REL476" s="54"/>
      <c r="REM476" s="54"/>
      <c r="REN476" s="54"/>
      <c r="REO476" s="54"/>
      <c r="REP476" s="54"/>
      <c r="REQ476" s="54"/>
      <c r="RER476" s="54"/>
      <c r="RES476" s="54"/>
      <c r="RET476" s="54"/>
      <c r="REU476" s="54"/>
      <c r="REV476" s="54"/>
      <c r="REW476" s="54"/>
      <c r="REX476" s="54"/>
      <c r="REY476" s="54"/>
      <c r="REZ476" s="54"/>
      <c r="RFA476" s="54"/>
      <c r="RFB476" s="54"/>
      <c r="RFC476" s="54"/>
      <c r="RFD476" s="54"/>
      <c r="RFE476" s="54"/>
      <c r="RFF476" s="54"/>
      <c r="RFG476" s="54"/>
      <c r="RFH476" s="54"/>
      <c r="RFI476" s="54"/>
      <c r="RFJ476" s="54"/>
      <c r="RFK476" s="54"/>
      <c r="RFL476" s="54"/>
      <c r="RFM476" s="54"/>
      <c r="RFN476" s="54"/>
      <c r="RFO476" s="54"/>
      <c r="RFP476" s="54"/>
      <c r="RFQ476" s="54"/>
      <c r="RFR476" s="54"/>
      <c r="RFS476" s="54"/>
      <c r="RFT476" s="54"/>
      <c r="RFU476" s="54"/>
      <c r="RFV476" s="54"/>
      <c r="RFW476" s="54"/>
      <c r="RFX476" s="54"/>
      <c r="RFY476" s="54"/>
      <c r="RFZ476" s="54"/>
      <c r="RGA476" s="54"/>
      <c r="RGB476" s="54"/>
      <c r="RGC476" s="54"/>
      <c r="RGD476" s="54"/>
      <c r="RGE476" s="54"/>
      <c r="RGF476" s="54"/>
      <c r="RGG476" s="54"/>
      <c r="RGH476" s="54"/>
      <c r="RGI476" s="54"/>
      <c r="RGJ476" s="54"/>
      <c r="RGK476" s="54"/>
      <c r="RGL476" s="54"/>
      <c r="RGM476" s="54"/>
      <c r="RGN476" s="54"/>
      <c r="RGO476" s="54"/>
      <c r="RGP476" s="54"/>
      <c r="RGQ476" s="54"/>
      <c r="RGR476" s="54"/>
      <c r="RGS476" s="54"/>
      <c r="RGT476" s="54"/>
      <c r="RGU476" s="54"/>
      <c r="RGV476" s="54"/>
      <c r="RGW476" s="54"/>
      <c r="RGX476" s="54"/>
      <c r="RGY476" s="54"/>
      <c r="RGZ476" s="54"/>
      <c r="RHA476" s="54"/>
      <c r="RHB476" s="54"/>
      <c r="RHC476" s="54"/>
      <c r="RHD476" s="54"/>
      <c r="RHE476" s="54"/>
      <c r="RHF476" s="54"/>
      <c r="RHG476" s="54"/>
      <c r="RHH476" s="54"/>
      <c r="RHI476" s="54"/>
      <c r="RHJ476" s="54"/>
      <c r="RHK476" s="54"/>
      <c r="RHL476" s="54"/>
      <c r="RHM476" s="54"/>
      <c r="RHN476" s="54"/>
      <c r="RHO476" s="54"/>
      <c r="RHP476" s="54"/>
      <c r="RHQ476" s="54"/>
      <c r="RHR476" s="54"/>
      <c r="RHS476" s="54"/>
      <c r="RHT476" s="54"/>
      <c r="RHU476" s="54"/>
      <c r="RHV476" s="54"/>
      <c r="RHW476" s="54"/>
      <c r="RHX476" s="54"/>
      <c r="RHY476" s="54"/>
      <c r="RHZ476" s="54"/>
      <c r="RIA476" s="54"/>
      <c r="RIB476" s="54"/>
      <c r="RIC476" s="54"/>
      <c r="RID476" s="54"/>
      <c r="RIE476" s="54"/>
      <c r="RIF476" s="54"/>
      <c r="RIG476" s="54"/>
      <c r="RIH476" s="54"/>
      <c r="RII476" s="54"/>
      <c r="RIJ476" s="54"/>
      <c r="RIK476" s="54"/>
      <c r="RIL476" s="54"/>
      <c r="RIM476" s="54"/>
      <c r="RIN476" s="54"/>
      <c r="RIO476" s="54"/>
      <c r="RIP476" s="54"/>
      <c r="RIQ476" s="54"/>
      <c r="RIR476" s="54"/>
      <c r="RIS476" s="54"/>
      <c r="RIT476" s="54"/>
      <c r="RIU476" s="54"/>
      <c r="RIV476" s="54"/>
      <c r="RIW476" s="54"/>
      <c r="RIX476" s="54"/>
      <c r="RIY476" s="54"/>
      <c r="RIZ476" s="54"/>
      <c r="RJA476" s="54"/>
      <c r="RJB476" s="54"/>
      <c r="RJC476" s="54"/>
      <c r="RJD476" s="54"/>
      <c r="RJE476" s="54"/>
      <c r="RJF476" s="54"/>
      <c r="RJG476" s="54"/>
      <c r="RJH476" s="54"/>
      <c r="RJI476" s="54"/>
      <c r="RJJ476" s="54"/>
      <c r="RJK476" s="54"/>
      <c r="RJL476" s="54"/>
      <c r="RJM476" s="54"/>
      <c r="RJN476" s="54"/>
      <c r="RJO476" s="54"/>
      <c r="RJP476" s="54"/>
      <c r="RJQ476" s="54"/>
      <c r="RJR476" s="54"/>
      <c r="RJS476" s="54"/>
      <c r="RJT476" s="54"/>
      <c r="RJU476" s="54"/>
      <c r="RJV476" s="54"/>
      <c r="RJW476" s="54"/>
      <c r="RJX476" s="54"/>
      <c r="RJY476" s="54"/>
      <c r="RJZ476" s="54"/>
      <c r="RKA476" s="54"/>
      <c r="RKB476" s="54"/>
      <c r="RKC476" s="54"/>
      <c r="RKD476" s="54"/>
      <c r="RKE476" s="54"/>
      <c r="RKF476" s="54"/>
      <c r="RKG476" s="54"/>
      <c r="RKH476" s="54"/>
      <c r="RKI476" s="54"/>
      <c r="RKJ476" s="54"/>
      <c r="RKK476" s="54"/>
      <c r="RKL476" s="54"/>
      <c r="RKM476" s="54"/>
      <c r="RKN476" s="54"/>
      <c r="RKO476" s="54"/>
      <c r="RKP476" s="54"/>
      <c r="RKQ476" s="54"/>
      <c r="RKR476" s="54"/>
      <c r="RKS476" s="54"/>
      <c r="RKT476" s="54"/>
      <c r="RKU476" s="54"/>
      <c r="RKV476" s="54"/>
      <c r="RKW476" s="54"/>
      <c r="RKX476" s="54"/>
      <c r="RKY476" s="54"/>
      <c r="RKZ476" s="54"/>
      <c r="RLA476" s="54"/>
      <c r="RLB476" s="54"/>
      <c r="RLC476" s="54"/>
      <c r="RLD476" s="54"/>
      <c r="RLE476" s="54"/>
      <c r="RLF476" s="54"/>
      <c r="RLG476" s="54"/>
      <c r="RLH476" s="54"/>
      <c r="RLI476" s="54"/>
      <c r="RLJ476" s="54"/>
      <c r="RLK476" s="54"/>
      <c r="RLL476" s="54"/>
      <c r="RLM476" s="54"/>
      <c r="RLN476" s="54"/>
      <c r="RLO476" s="54"/>
      <c r="RLP476" s="54"/>
      <c r="RLQ476" s="54"/>
      <c r="RLR476" s="54"/>
      <c r="RLS476" s="54"/>
      <c r="RLT476" s="54"/>
      <c r="RLU476" s="54"/>
      <c r="RLV476" s="54"/>
      <c r="RLW476" s="54"/>
      <c r="RLX476" s="54"/>
      <c r="RLY476" s="54"/>
      <c r="RLZ476" s="54"/>
      <c r="RMA476" s="54"/>
      <c r="RMB476" s="54"/>
      <c r="RMC476" s="54"/>
      <c r="RMD476" s="54"/>
      <c r="RME476" s="54"/>
      <c r="RMF476" s="54"/>
      <c r="RMG476" s="54"/>
      <c r="RMH476" s="54"/>
      <c r="RMI476" s="54"/>
      <c r="RMJ476" s="54"/>
      <c r="RMK476" s="54"/>
      <c r="RML476" s="54"/>
      <c r="RMM476" s="54"/>
      <c r="RMN476" s="54"/>
      <c r="RMO476" s="54"/>
      <c r="RMP476" s="54"/>
      <c r="RMQ476" s="54"/>
      <c r="RMR476" s="54"/>
      <c r="RMS476" s="54"/>
      <c r="RMT476" s="54"/>
      <c r="RMU476" s="54"/>
      <c r="RMV476" s="54"/>
      <c r="RMW476" s="54"/>
      <c r="RMX476" s="54"/>
      <c r="RMY476" s="54"/>
      <c r="RMZ476" s="54"/>
      <c r="RNA476" s="54"/>
      <c r="RNB476" s="54"/>
      <c r="RNC476" s="54"/>
      <c r="RND476" s="54"/>
      <c r="RNE476" s="54"/>
      <c r="RNF476" s="54"/>
      <c r="RNG476" s="54"/>
      <c r="RNH476" s="54"/>
      <c r="RNI476" s="54"/>
      <c r="RNJ476" s="54"/>
      <c r="RNK476" s="54"/>
      <c r="RNL476" s="54"/>
      <c r="RNM476" s="54"/>
      <c r="RNN476" s="54"/>
      <c r="RNO476" s="54"/>
      <c r="RNP476" s="54"/>
      <c r="RNQ476" s="54"/>
      <c r="RNR476" s="54"/>
      <c r="RNS476" s="54"/>
      <c r="RNT476" s="54"/>
      <c r="RNU476" s="54"/>
      <c r="RNV476" s="54"/>
      <c r="RNW476" s="54"/>
      <c r="RNX476" s="54"/>
      <c r="RNY476" s="54"/>
      <c r="RNZ476" s="54"/>
      <c r="ROA476" s="54"/>
      <c r="ROB476" s="54"/>
      <c r="ROC476" s="54"/>
      <c r="ROD476" s="54"/>
      <c r="ROE476" s="54"/>
      <c r="ROF476" s="54"/>
      <c r="ROG476" s="54"/>
      <c r="ROH476" s="54"/>
      <c r="ROI476" s="54"/>
      <c r="ROJ476" s="54"/>
      <c r="ROK476" s="54"/>
      <c r="ROL476" s="54"/>
      <c r="ROM476" s="54"/>
      <c r="RON476" s="54"/>
      <c r="ROO476" s="54"/>
      <c r="ROP476" s="54"/>
      <c r="ROQ476" s="54"/>
      <c r="ROR476" s="54"/>
      <c r="ROS476" s="54"/>
      <c r="ROT476" s="54"/>
      <c r="ROU476" s="54"/>
      <c r="ROV476" s="54"/>
      <c r="ROW476" s="54"/>
      <c r="ROX476" s="54"/>
      <c r="ROY476" s="54"/>
      <c r="ROZ476" s="54"/>
      <c r="RPA476" s="54"/>
      <c r="RPB476" s="54"/>
      <c r="RPC476" s="54"/>
      <c r="RPD476" s="54"/>
      <c r="RPE476" s="54"/>
      <c r="RPF476" s="54"/>
      <c r="RPG476" s="54"/>
      <c r="RPH476" s="54"/>
      <c r="RPI476" s="54"/>
      <c r="RPJ476" s="54"/>
      <c r="RPK476" s="54"/>
      <c r="RPL476" s="54"/>
      <c r="RPM476" s="54"/>
      <c r="RPN476" s="54"/>
      <c r="RPO476" s="54"/>
      <c r="RPP476" s="54"/>
      <c r="RPQ476" s="54"/>
      <c r="RPR476" s="54"/>
      <c r="RPS476" s="54"/>
      <c r="RPT476" s="54"/>
      <c r="RPU476" s="54"/>
      <c r="RPV476" s="54"/>
      <c r="RPW476" s="54"/>
      <c r="RPX476" s="54"/>
      <c r="RPY476" s="54"/>
      <c r="RPZ476" s="54"/>
      <c r="RQA476" s="54"/>
      <c r="RQB476" s="54"/>
      <c r="RQC476" s="54"/>
      <c r="RQD476" s="54"/>
      <c r="RQE476" s="54"/>
      <c r="RQF476" s="54"/>
      <c r="RQG476" s="54"/>
      <c r="RQH476" s="54"/>
      <c r="RQI476" s="54"/>
      <c r="RQJ476" s="54"/>
      <c r="RQK476" s="54"/>
      <c r="RQL476" s="54"/>
      <c r="RQM476" s="54"/>
      <c r="RQN476" s="54"/>
      <c r="RQO476" s="54"/>
      <c r="RQP476" s="54"/>
      <c r="RQQ476" s="54"/>
      <c r="RQR476" s="54"/>
      <c r="RQS476" s="54"/>
      <c r="RQT476" s="54"/>
      <c r="RQU476" s="54"/>
      <c r="RQV476" s="54"/>
      <c r="RQW476" s="54"/>
      <c r="RQX476" s="54"/>
      <c r="RQY476" s="54"/>
      <c r="RQZ476" s="54"/>
      <c r="RRA476" s="54"/>
      <c r="RRB476" s="54"/>
      <c r="RRC476" s="54"/>
      <c r="RRD476" s="54"/>
      <c r="RRE476" s="54"/>
      <c r="RRF476" s="54"/>
      <c r="RRG476" s="54"/>
      <c r="RRH476" s="54"/>
      <c r="RRI476" s="54"/>
      <c r="RRJ476" s="54"/>
      <c r="RRK476" s="54"/>
      <c r="RRL476" s="54"/>
      <c r="RRM476" s="54"/>
      <c r="RRN476" s="54"/>
      <c r="RRO476" s="54"/>
      <c r="RRP476" s="54"/>
      <c r="RRQ476" s="54"/>
      <c r="RRR476" s="54"/>
      <c r="RRS476" s="54"/>
      <c r="RRT476" s="54"/>
      <c r="RRU476" s="54"/>
      <c r="RRV476" s="54"/>
      <c r="RRW476" s="54"/>
      <c r="RRX476" s="54"/>
      <c r="RRY476" s="54"/>
      <c r="RRZ476" s="54"/>
      <c r="RSA476" s="54"/>
      <c r="RSB476" s="54"/>
      <c r="RSC476" s="54"/>
      <c r="RSD476" s="54"/>
      <c r="RSE476" s="54"/>
      <c r="RSF476" s="54"/>
      <c r="RSG476" s="54"/>
      <c r="RSH476" s="54"/>
      <c r="RSI476" s="54"/>
      <c r="RSJ476" s="54"/>
      <c r="RSK476" s="54"/>
      <c r="RSL476" s="54"/>
      <c r="RSM476" s="54"/>
      <c r="RSN476" s="54"/>
      <c r="RSO476" s="54"/>
      <c r="RSP476" s="54"/>
      <c r="RSQ476" s="54"/>
      <c r="RSR476" s="54"/>
      <c r="RSS476" s="54"/>
      <c r="RST476" s="54"/>
      <c r="RSU476" s="54"/>
      <c r="RSV476" s="54"/>
      <c r="RSW476" s="54"/>
      <c r="RSX476" s="54"/>
      <c r="RSY476" s="54"/>
      <c r="RSZ476" s="54"/>
      <c r="RTA476" s="54"/>
      <c r="RTB476" s="54"/>
      <c r="RTC476" s="54"/>
      <c r="RTD476" s="54"/>
      <c r="RTE476" s="54"/>
      <c r="RTF476" s="54"/>
      <c r="RTG476" s="54"/>
      <c r="RTH476" s="54"/>
      <c r="RTI476" s="54"/>
      <c r="RTJ476" s="54"/>
      <c r="RTK476" s="54"/>
      <c r="RTL476" s="54"/>
      <c r="RTM476" s="54"/>
      <c r="RTN476" s="54"/>
      <c r="RTO476" s="54"/>
      <c r="RTP476" s="54"/>
      <c r="RTQ476" s="54"/>
      <c r="RTR476" s="54"/>
      <c r="RTS476" s="54"/>
      <c r="RTT476" s="54"/>
      <c r="RTU476" s="54"/>
      <c r="RTV476" s="54"/>
      <c r="RTW476" s="54"/>
      <c r="RTX476" s="54"/>
      <c r="RTY476" s="54"/>
      <c r="RTZ476" s="54"/>
      <c r="RUA476" s="54"/>
      <c r="RUB476" s="54"/>
      <c r="RUC476" s="54"/>
      <c r="RUD476" s="54"/>
      <c r="RUE476" s="54"/>
      <c r="RUF476" s="54"/>
      <c r="RUG476" s="54"/>
      <c r="RUH476" s="54"/>
      <c r="RUI476" s="54"/>
      <c r="RUJ476" s="54"/>
      <c r="RUK476" s="54"/>
      <c r="RUL476" s="54"/>
      <c r="RUM476" s="54"/>
      <c r="RUN476" s="54"/>
      <c r="RUO476" s="54"/>
      <c r="RUP476" s="54"/>
      <c r="RUQ476" s="54"/>
      <c r="RUR476" s="54"/>
      <c r="RUS476" s="54"/>
      <c r="RUT476" s="54"/>
      <c r="RUU476" s="54"/>
      <c r="RUV476" s="54"/>
      <c r="RUW476" s="54"/>
      <c r="RUX476" s="54"/>
      <c r="RUY476" s="54"/>
      <c r="RUZ476" s="54"/>
      <c r="RVA476" s="54"/>
      <c r="RVB476" s="54"/>
      <c r="RVC476" s="54"/>
      <c r="RVD476" s="54"/>
      <c r="RVE476" s="54"/>
      <c r="RVF476" s="54"/>
      <c r="RVG476" s="54"/>
      <c r="RVH476" s="54"/>
      <c r="RVI476" s="54"/>
      <c r="RVJ476" s="54"/>
      <c r="RVK476" s="54"/>
      <c r="RVL476" s="54"/>
      <c r="RVM476" s="54"/>
      <c r="RVN476" s="54"/>
      <c r="RVO476" s="54"/>
      <c r="RVP476" s="54"/>
      <c r="RVQ476" s="54"/>
      <c r="RVR476" s="54"/>
      <c r="RVS476" s="54"/>
      <c r="RVT476" s="54"/>
      <c r="RVU476" s="54"/>
      <c r="RVV476" s="54"/>
      <c r="RVW476" s="54"/>
      <c r="RVX476" s="54"/>
      <c r="RVY476" s="54"/>
      <c r="RVZ476" s="54"/>
      <c r="RWA476" s="54"/>
      <c r="RWB476" s="54"/>
      <c r="RWC476" s="54"/>
      <c r="RWD476" s="54"/>
      <c r="RWE476" s="54"/>
      <c r="RWF476" s="54"/>
      <c r="RWG476" s="54"/>
      <c r="RWH476" s="54"/>
      <c r="RWI476" s="54"/>
      <c r="RWJ476" s="54"/>
      <c r="RWK476" s="54"/>
      <c r="RWL476" s="54"/>
      <c r="RWM476" s="54"/>
      <c r="RWN476" s="54"/>
      <c r="RWO476" s="54"/>
      <c r="RWP476" s="54"/>
      <c r="RWQ476" s="54"/>
      <c r="RWR476" s="54"/>
      <c r="RWS476" s="54"/>
      <c r="RWT476" s="54"/>
      <c r="RWU476" s="54"/>
      <c r="RWV476" s="54"/>
      <c r="RWW476" s="54"/>
      <c r="RWX476" s="54"/>
      <c r="RWY476" s="54"/>
      <c r="RWZ476" s="54"/>
      <c r="RXA476" s="54"/>
      <c r="RXB476" s="54"/>
      <c r="RXC476" s="54"/>
      <c r="RXD476" s="54"/>
      <c r="RXE476" s="54"/>
      <c r="RXF476" s="54"/>
      <c r="RXG476" s="54"/>
      <c r="RXH476" s="54"/>
      <c r="RXI476" s="54"/>
      <c r="RXJ476" s="54"/>
      <c r="RXK476" s="54"/>
      <c r="RXL476" s="54"/>
      <c r="RXM476" s="54"/>
      <c r="RXN476" s="54"/>
      <c r="RXO476" s="54"/>
      <c r="RXP476" s="54"/>
      <c r="RXQ476" s="54"/>
      <c r="RXR476" s="54"/>
      <c r="RXS476" s="54"/>
      <c r="RXT476" s="54"/>
      <c r="RXU476" s="54"/>
      <c r="RXV476" s="54"/>
      <c r="RXW476" s="54"/>
      <c r="RXX476" s="54"/>
      <c r="RXY476" s="54"/>
      <c r="RXZ476" s="54"/>
      <c r="RYA476" s="54"/>
      <c r="RYB476" s="54"/>
      <c r="RYC476" s="54"/>
      <c r="RYD476" s="54"/>
      <c r="RYE476" s="54"/>
      <c r="RYF476" s="54"/>
      <c r="RYG476" s="54"/>
      <c r="RYH476" s="54"/>
      <c r="RYI476" s="54"/>
      <c r="RYJ476" s="54"/>
      <c r="RYK476" s="54"/>
      <c r="RYL476" s="54"/>
      <c r="RYM476" s="54"/>
      <c r="RYN476" s="54"/>
      <c r="RYO476" s="54"/>
      <c r="RYP476" s="54"/>
      <c r="RYQ476" s="54"/>
      <c r="RYR476" s="54"/>
      <c r="RYS476" s="54"/>
      <c r="RYT476" s="54"/>
      <c r="RYU476" s="54"/>
      <c r="RYV476" s="54"/>
      <c r="RYW476" s="54"/>
      <c r="RYX476" s="54"/>
      <c r="RYY476" s="54"/>
      <c r="RYZ476" s="54"/>
      <c r="RZA476" s="54"/>
      <c r="RZB476" s="54"/>
      <c r="RZC476" s="54"/>
      <c r="RZD476" s="54"/>
      <c r="RZE476" s="54"/>
      <c r="RZF476" s="54"/>
      <c r="RZG476" s="54"/>
      <c r="RZH476" s="54"/>
      <c r="RZI476" s="54"/>
      <c r="RZJ476" s="54"/>
      <c r="RZK476" s="54"/>
      <c r="RZL476" s="54"/>
      <c r="RZM476" s="54"/>
      <c r="RZN476" s="54"/>
      <c r="RZO476" s="54"/>
      <c r="RZP476" s="54"/>
      <c r="RZQ476" s="54"/>
      <c r="RZR476" s="54"/>
      <c r="RZS476" s="54"/>
      <c r="RZT476" s="54"/>
      <c r="RZU476" s="54"/>
      <c r="RZV476" s="54"/>
      <c r="RZW476" s="54"/>
      <c r="RZX476" s="54"/>
      <c r="RZY476" s="54"/>
      <c r="RZZ476" s="54"/>
      <c r="SAA476" s="54"/>
      <c r="SAB476" s="54"/>
      <c r="SAC476" s="54"/>
      <c r="SAD476" s="54"/>
      <c r="SAE476" s="54"/>
      <c r="SAF476" s="54"/>
      <c r="SAG476" s="54"/>
      <c r="SAH476" s="54"/>
      <c r="SAI476" s="54"/>
      <c r="SAJ476" s="54"/>
      <c r="SAK476" s="54"/>
      <c r="SAL476" s="54"/>
      <c r="SAM476" s="54"/>
      <c r="SAN476" s="54"/>
      <c r="SAO476" s="54"/>
      <c r="SAP476" s="54"/>
      <c r="SAQ476" s="54"/>
      <c r="SAR476" s="54"/>
      <c r="SAS476" s="54"/>
      <c r="SAT476" s="54"/>
      <c r="SAU476" s="54"/>
      <c r="SAV476" s="54"/>
      <c r="SAW476" s="54"/>
      <c r="SAX476" s="54"/>
      <c r="SAY476" s="54"/>
      <c r="SAZ476" s="54"/>
      <c r="SBA476" s="54"/>
      <c r="SBB476" s="54"/>
      <c r="SBC476" s="54"/>
      <c r="SBD476" s="54"/>
      <c r="SBE476" s="54"/>
      <c r="SBF476" s="54"/>
      <c r="SBG476" s="54"/>
      <c r="SBH476" s="54"/>
      <c r="SBI476" s="54"/>
      <c r="SBJ476" s="54"/>
      <c r="SBK476" s="54"/>
      <c r="SBL476" s="54"/>
      <c r="SBM476" s="54"/>
      <c r="SBN476" s="54"/>
      <c r="SBO476" s="54"/>
      <c r="SBP476" s="54"/>
      <c r="SBQ476" s="54"/>
      <c r="SBR476" s="54"/>
      <c r="SBS476" s="54"/>
      <c r="SBT476" s="54"/>
      <c r="SBU476" s="54"/>
      <c r="SBV476" s="54"/>
      <c r="SBW476" s="54"/>
      <c r="SBX476" s="54"/>
      <c r="SBY476" s="54"/>
      <c r="SBZ476" s="54"/>
      <c r="SCA476" s="54"/>
      <c r="SCB476" s="54"/>
      <c r="SCC476" s="54"/>
      <c r="SCD476" s="54"/>
      <c r="SCE476" s="54"/>
      <c r="SCF476" s="54"/>
      <c r="SCG476" s="54"/>
      <c r="SCH476" s="54"/>
      <c r="SCI476" s="54"/>
      <c r="SCJ476" s="54"/>
      <c r="SCK476" s="54"/>
      <c r="SCL476" s="54"/>
      <c r="SCM476" s="54"/>
      <c r="SCN476" s="54"/>
      <c r="SCO476" s="54"/>
      <c r="SCP476" s="54"/>
      <c r="SCQ476" s="54"/>
      <c r="SCR476" s="54"/>
      <c r="SCS476" s="54"/>
      <c r="SCT476" s="54"/>
      <c r="SCU476" s="54"/>
      <c r="SCV476" s="54"/>
      <c r="SCW476" s="54"/>
      <c r="SCX476" s="54"/>
      <c r="SCY476" s="54"/>
      <c r="SCZ476" s="54"/>
      <c r="SDA476" s="54"/>
      <c r="SDB476" s="54"/>
      <c r="SDC476" s="54"/>
      <c r="SDD476" s="54"/>
      <c r="SDE476" s="54"/>
      <c r="SDF476" s="54"/>
      <c r="SDG476" s="54"/>
      <c r="SDH476" s="54"/>
      <c r="SDI476" s="54"/>
      <c r="SDJ476" s="54"/>
      <c r="SDK476" s="54"/>
      <c r="SDL476" s="54"/>
      <c r="SDM476" s="54"/>
      <c r="SDN476" s="54"/>
      <c r="SDO476" s="54"/>
      <c r="SDP476" s="54"/>
      <c r="SDQ476" s="54"/>
      <c r="SDR476" s="54"/>
      <c r="SDS476" s="54"/>
      <c r="SDT476" s="54"/>
      <c r="SDU476" s="54"/>
      <c r="SDV476" s="54"/>
      <c r="SDW476" s="54"/>
      <c r="SDX476" s="54"/>
      <c r="SDY476" s="54"/>
      <c r="SDZ476" s="54"/>
      <c r="SEA476" s="54"/>
      <c r="SEB476" s="54"/>
      <c r="SEC476" s="54"/>
      <c r="SED476" s="54"/>
      <c r="SEE476" s="54"/>
      <c r="SEF476" s="54"/>
      <c r="SEG476" s="54"/>
      <c r="SEH476" s="54"/>
      <c r="SEI476" s="54"/>
      <c r="SEJ476" s="54"/>
      <c r="SEK476" s="54"/>
      <c r="SEL476" s="54"/>
      <c r="SEM476" s="54"/>
      <c r="SEN476" s="54"/>
      <c r="SEO476" s="54"/>
      <c r="SEP476" s="54"/>
      <c r="SEQ476" s="54"/>
      <c r="SER476" s="54"/>
      <c r="SES476" s="54"/>
      <c r="SET476" s="54"/>
      <c r="SEU476" s="54"/>
      <c r="SEV476" s="54"/>
      <c r="SEW476" s="54"/>
      <c r="SEX476" s="54"/>
      <c r="SEY476" s="54"/>
      <c r="SEZ476" s="54"/>
      <c r="SFA476" s="54"/>
      <c r="SFB476" s="54"/>
      <c r="SFC476" s="54"/>
      <c r="SFD476" s="54"/>
      <c r="SFE476" s="54"/>
      <c r="SFF476" s="54"/>
      <c r="SFG476" s="54"/>
      <c r="SFH476" s="54"/>
      <c r="SFI476" s="54"/>
      <c r="SFJ476" s="54"/>
      <c r="SFK476" s="54"/>
      <c r="SFL476" s="54"/>
      <c r="SFM476" s="54"/>
      <c r="SFN476" s="54"/>
      <c r="SFO476" s="54"/>
      <c r="SFP476" s="54"/>
      <c r="SFQ476" s="54"/>
      <c r="SFR476" s="54"/>
      <c r="SFS476" s="54"/>
      <c r="SFT476" s="54"/>
      <c r="SFU476" s="54"/>
      <c r="SFV476" s="54"/>
      <c r="SFW476" s="54"/>
      <c r="SFX476" s="54"/>
      <c r="SFY476" s="54"/>
      <c r="SFZ476" s="54"/>
      <c r="SGA476" s="54"/>
      <c r="SGB476" s="54"/>
      <c r="SGC476" s="54"/>
      <c r="SGD476" s="54"/>
      <c r="SGE476" s="54"/>
      <c r="SGF476" s="54"/>
      <c r="SGG476" s="54"/>
      <c r="SGH476" s="54"/>
      <c r="SGI476" s="54"/>
      <c r="SGJ476" s="54"/>
      <c r="SGK476" s="54"/>
      <c r="SGL476" s="54"/>
      <c r="SGM476" s="54"/>
      <c r="SGN476" s="54"/>
      <c r="SGO476" s="54"/>
      <c r="SGP476" s="54"/>
      <c r="SGQ476" s="54"/>
      <c r="SGR476" s="54"/>
      <c r="SGS476" s="54"/>
      <c r="SGT476" s="54"/>
      <c r="SGU476" s="54"/>
      <c r="SGV476" s="54"/>
      <c r="SGW476" s="54"/>
      <c r="SGX476" s="54"/>
      <c r="SGY476" s="54"/>
      <c r="SGZ476" s="54"/>
      <c r="SHA476" s="54"/>
      <c r="SHB476" s="54"/>
      <c r="SHC476" s="54"/>
      <c r="SHD476" s="54"/>
      <c r="SHE476" s="54"/>
      <c r="SHF476" s="54"/>
      <c r="SHG476" s="54"/>
      <c r="SHH476" s="54"/>
      <c r="SHI476" s="54"/>
      <c r="SHJ476" s="54"/>
      <c r="SHK476" s="54"/>
      <c r="SHL476" s="54"/>
      <c r="SHM476" s="54"/>
      <c r="SHN476" s="54"/>
      <c r="SHO476" s="54"/>
      <c r="SHP476" s="54"/>
      <c r="SHQ476" s="54"/>
      <c r="SHR476" s="54"/>
      <c r="SHS476" s="54"/>
      <c r="SHT476" s="54"/>
      <c r="SHU476" s="54"/>
      <c r="SHV476" s="54"/>
      <c r="SHW476" s="54"/>
      <c r="SHX476" s="54"/>
      <c r="SHY476" s="54"/>
      <c r="SHZ476" s="54"/>
      <c r="SIA476" s="54"/>
      <c r="SIB476" s="54"/>
      <c r="SIC476" s="54"/>
      <c r="SID476" s="54"/>
      <c r="SIE476" s="54"/>
      <c r="SIF476" s="54"/>
      <c r="SIG476" s="54"/>
      <c r="SIH476" s="54"/>
      <c r="SII476" s="54"/>
      <c r="SIJ476" s="54"/>
      <c r="SIK476" s="54"/>
      <c r="SIL476" s="54"/>
      <c r="SIM476" s="54"/>
      <c r="SIN476" s="54"/>
      <c r="SIO476" s="54"/>
      <c r="SIP476" s="54"/>
      <c r="SIQ476" s="54"/>
      <c r="SIR476" s="54"/>
      <c r="SIS476" s="54"/>
      <c r="SIT476" s="54"/>
      <c r="SIU476" s="54"/>
      <c r="SIV476" s="54"/>
      <c r="SIW476" s="54"/>
      <c r="SIX476" s="54"/>
      <c r="SIY476" s="54"/>
      <c r="SIZ476" s="54"/>
      <c r="SJA476" s="54"/>
      <c r="SJB476" s="54"/>
      <c r="SJC476" s="54"/>
      <c r="SJD476" s="54"/>
      <c r="SJE476" s="54"/>
      <c r="SJF476" s="54"/>
      <c r="SJG476" s="54"/>
      <c r="SJH476" s="54"/>
      <c r="SJI476" s="54"/>
      <c r="SJJ476" s="54"/>
      <c r="SJK476" s="54"/>
      <c r="SJL476" s="54"/>
      <c r="SJM476" s="54"/>
      <c r="SJN476" s="54"/>
      <c r="SJO476" s="54"/>
      <c r="SJP476" s="54"/>
      <c r="SJQ476" s="54"/>
      <c r="SJR476" s="54"/>
      <c r="SJS476" s="54"/>
      <c r="SJT476" s="54"/>
      <c r="SJU476" s="54"/>
      <c r="SJV476" s="54"/>
      <c r="SJW476" s="54"/>
      <c r="SJX476" s="54"/>
      <c r="SJY476" s="54"/>
      <c r="SJZ476" s="54"/>
      <c r="SKA476" s="54"/>
      <c r="SKB476" s="54"/>
      <c r="SKC476" s="54"/>
      <c r="SKD476" s="54"/>
      <c r="SKE476" s="54"/>
      <c r="SKF476" s="54"/>
      <c r="SKG476" s="54"/>
      <c r="SKH476" s="54"/>
      <c r="SKI476" s="54"/>
      <c r="SKJ476" s="54"/>
      <c r="SKK476" s="54"/>
      <c r="SKL476" s="54"/>
      <c r="SKM476" s="54"/>
      <c r="SKN476" s="54"/>
      <c r="SKO476" s="54"/>
      <c r="SKP476" s="54"/>
      <c r="SKQ476" s="54"/>
      <c r="SKR476" s="54"/>
      <c r="SKS476" s="54"/>
      <c r="SKT476" s="54"/>
      <c r="SKU476" s="54"/>
      <c r="SKV476" s="54"/>
      <c r="SKW476" s="54"/>
      <c r="SKX476" s="54"/>
      <c r="SKY476" s="54"/>
      <c r="SKZ476" s="54"/>
      <c r="SLA476" s="54"/>
      <c r="SLB476" s="54"/>
      <c r="SLC476" s="54"/>
      <c r="SLD476" s="54"/>
      <c r="SLE476" s="54"/>
      <c r="SLF476" s="54"/>
      <c r="SLG476" s="54"/>
      <c r="SLH476" s="54"/>
      <c r="SLI476" s="54"/>
      <c r="SLJ476" s="54"/>
      <c r="SLK476" s="54"/>
      <c r="SLL476" s="54"/>
      <c r="SLM476" s="54"/>
      <c r="SLN476" s="54"/>
      <c r="SLO476" s="54"/>
      <c r="SLP476" s="54"/>
      <c r="SLQ476" s="54"/>
      <c r="SLR476" s="54"/>
      <c r="SLS476" s="54"/>
      <c r="SLT476" s="54"/>
      <c r="SLU476" s="54"/>
      <c r="SLV476" s="54"/>
      <c r="SLW476" s="54"/>
      <c r="SLX476" s="54"/>
      <c r="SLY476" s="54"/>
      <c r="SLZ476" s="54"/>
      <c r="SMA476" s="54"/>
      <c r="SMB476" s="54"/>
      <c r="SMC476" s="54"/>
      <c r="SMD476" s="54"/>
      <c r="SME476" s="54"/>
      <c r="SMF476" s="54"/>
      <c r="SMG476" s="54"/>
      <c r="SMH476" s="54"/>
      <c r="SMI476" s="54"/>
      <c r="SMJ476" s="54"/>
      <c r="SMK476" s="54"/>
      <c r="SML476" s="54"/>
      <c r="SMM476" s="54"/>
      <c r="SMN476" s="54"/>
      <c r="SMO476" s="54"/>
      <c r="SMP476" s="54"/>
      <c r="SMQ476" s="54"/>
      <c r="SMR476" s="54"/>
      <c r="SMS476" s="54"/>
      <c r="SMT476" s="54"/>
      <c r="SMU476" s="54"/>
      <c r="SMV476" s="54"/>
      <c r="SMW476" s="54"/>
      <c r="SMX476" s="54"/>
      <c r="SMY476" s="54"/>
      <c r="SMZ476" s="54"/>
      <c r="SNA476" s="54"/>
      <c r="SNB476" s="54"/>
      <c r="SNC476" s="54"/>
      <c r="SND476" s="54"/>
      <c r="SNE476" s="54"/>
      <c r="SNF476" s="54"/>
      <c r="SNG476" s="54"/>
      <c r="SNH476" s="54"/>
      <c r="SNI476" s="54"/>
      <c r="SNJ476" s="54"/>
      <c r="SNK476" s="54"/>
      <c r="SNL476" s="54"/>
      <c r="SNM476" s="54"/>
      <c r="SNN476" s="54"/>
      <c r="SNO476" s="54"/>
      <c r="SNP476" s="54"/>
      <c r="SNQ476" s="54"/>
      <c r="SNR476" s="54"/>
      <c r="SNS476" s="54"/>
      <c r="SNT476" s="54"/>
      <c r="SNU476" s="54"/>
      <c r="SNV476" s="54"/>
      <c r="SNW476" s="54"/>
      <c r="SNX476" s="54"/>
      <c r="SNY476" s="54"/>
      <c r="SNZ476" s="54"/>
      <c r="SOA476" s="54"/>
      <c r="SOB476" s="54"/>
      <c r="SOC476" s="54"/>
      <c r="SOD476" s="54"/>
      <c r="SOE476" s="54"/>
      <c r="SOF476" s="54"/>
      <c r="SOG476" s="54"/>
      <c r="SOH476" s="54"/>
      <c r="SOI476" s="54"/>
      <c r="SOJ476" s="54"/>
      <c r="SOK476" s="54"/>
      <c r="SOL476" s="54"/>
      <c r="SOM476" s="54"/>
      <c r="SON476" s="54"/>
      <c r="SOO476" s="54"/>
      <c r="SOP476" s="54"/>
      <c r="SOQ476" s="54"/>
      <c r="SOR476" s="54"/>
      <c r="SOS476" s="54"/>
      <c r="SOT476" s="54"/>
      <c r="SOU476" s="54"/>
      <c r="SOV476" s="54"/>
      <c r="SOW476" s="54"/>
      <c r="SOX476" s="54"/>
      <c r="SOY476" s="54"/>
      <c r="SOZ476" s="54"/>
      <c r="SPA476" s="54"/>
      <c r="SPB476" s="54"/>
      <c r="SPC476" s="54"/>
      <c r="SPD476" s="54"/>
      <c r="SPE476" s="54"/>
      <c r="SPF476" s="54"/>
      <c r="SPG476" s="54"/>
      <c r="SPH476" s="54"/>
      <c r="SPI476" s="54"/>
      <c r="SPJ476" s="54"/>
      <c r="SPK476" s="54"/>
      <c r="SPL476" s="54"/>
      <c r="SPM476" s="54"/>
      <c r="SPN476" s="54"/>
      <c r="SPO476" s="54"/>
      <c r="SPP476" s="54"/>
      <c r="SPQ476" s="54"/>
      <c r="SPR476" s="54"/>
      <c r="SPS476" s="54"/>
      <c r="SPT476" s="54"/>
      <c r="SPU476" s="54"/>
      <c r="SPV476" s="54"/>
      <c r="SPW476" s="54"/>
      <c r="SPX476" s="54"/>
      <c r="SPY476" s="54"/>
      <c r="SPZ476" s="54"/>
      <c r="SQA476" s="54"/>
      <c r="SQB476" s="54"/>
      <c r="SQC476" s="54"/>
      <c r="SQD476" s="54"/>
      <c r="SQE476" s="54"/>
      <c r="SQF476" s="54"/>
      <c r="SQG476" s="54"/>
      <c r="SQH476" s="54"/>
      <c r="SQI476" s="54"/>
      <c r="SQJ476" s="54"/>
      <c r="SQK476" s="54"/>
      <c r="SQL476" s="54"/>
      <c r="SQM476" s="54"/>
      <c r="SQN476" s="54"/>
      <c r="SQO476" s="54"/>
      <c r="SQP476" s="54"/>
      <c r="SQQ476" s="54"/>
      <c r="SQR476" s="54"/>
      <c r="SQS476" s="54"/>
      <c r="SQT476" s="54"/>
      <c r="SQU476" s="54"/>
      <c r="SQV476" s="54"/>
      <c r="SQW476" s="54"/>
      <c r="SQX476" s="54"/>
      <c r="SQY476" s="54"/>
      <c r="SQZ476" s="54"/>
      <c r="SRA476" s="54"/>
      <c r="SRB476" s="54"/>
      <c r="SRC476" s="54"/>
      <c r="SRD476" s="54"/>
      <c r="SRE476" s="54"/>
      <c r="SRF476" s="54"/>
      <c r="SRG476" s="54"/>
      <c r="SRH476" s="54"/>
      <c r="SRI476" s="54"/>
      <c r="SRJ476" s="54"/>
      <c r="SRK476" s="54"/>
      <c r="SRL476" s="54"/>
      <c r="SRM476" s="54"/>
      <c r="SRN476" s="54"/>
      <c r="SRO476" s="54"/>
      <c r="SRP476" s="54"/>
      <c r="SRQ476" s="54"/>
      <c r="SRR476" s="54"/>
      <c r="SRS476" s="54"/>
      <c r="SRT476" s="54"/>
      <c r="SRU476" s="54"/>
      <c r="SRV476" s="54"/>
      <c r="SRW476" s="54"/>
      <c r="SRX476" s="54"/>
      <c r="SRY476" s="54"/>
      <c r="SRZ476" s="54"/>
      <c r="SSA476" s="54"/>
      <c r="SSB476" s="54"/>
      <c r="SSC476" s="54"/>
      <c r="SSD476" s="54"/>
      <c r="SSE476" s="54"/>
      <c r="SSF476" s="54"/>
      <c r="SSG476" s="54"/>
      <c r="SSH476" s="54"/>
      <c r="SSI476" s="54"/>
      <c r="SSJ476" s="54"/>
      <c r="SSK476" s="54"/>
      <c r="SSL476" s="54"/>
      <c r="SSM476" s="54"/>
      <c r="SSN476" s="54"/>
      <c r="SSO476" s="54"/>
      <c r="SSP476" s="54"/>
      <c r="SSQ476" s="54"/>
      <c r="SSR476" s="54"/>
      <c r="SSS476" s="54"/>
      <c r="SST476" s="54"/>
      <c r="SSU476" s="54"/>
      <c r="SSV476" s="54"/>
      <c r="SSW476" s="54"/>
      <c r="SSX476" s="54"/>
      <c r="SSY476" s="54"/>
      <c r="SSZ476" s="54"/>
      <c r="STA476" s="54"/>
      <c r="STB476" s="54"/>
      <c r="STC476" s="54"/>
      <c r="STD476" s="54"/>
      <c r="STE476" s="54"/>
      <c r="STF476" s="54"/>
      <c r="STG476" s="54"/>
      <c r="STH476" s="54"/>
      <c r="STI476" s="54"/>
      <c r="STJ476" s="54"/>
      <c r="STK476" s="54"/>
      <c r="STL476" s="54"/>
      <c r="STM476" s="54"/>
      <c r="STN476" s="54"/>
      <c r="STO476" s="54"/>
      <c r="STP476" s="54"/>
      <c r="STQ476" s="54"/>
      <c r="STR476" s="54"/>
      <c r="STS476" s="54"/>
      <c r="STT476" s="54"/>
      <c r="STU476" s="54"/>
      <c r="STV476" s="54"/>
      <c r="STW476" s="54"/>
      <c r="STX476" s="54"/>
      <c r="STY476" s="54"/>
      <c r="STZ476" s="54"/>
      <c r="SUA476" s="54"/>
      <c r="SUB476" s="54"/>
      <c r="SUC476" s="54"/>
      <c r="SUD476" s="54"/>
      <c r="SUE476" s="54"/>
      <c r="SUF476" s="54"/>
      <c r="SUG476" s="54"/>
      <c r="SUH476" s="54"/>
      <c r="SUI476" s="54"/>
      <c r="SUJ476" s="54"/>
      <c r="SUK476" s="54"/>
      <c r="SUL476" s="54"/>
      <c r="SUM476" s="54"/>
      <c r="SUN476" s="54"/>
      <c r="SUO476" s="54"/>
      <c r="SUP476" s="54"/>
      <c r="SUQ476" s="54"/>
      <c r="SUR476" s="54"/>
      <c r="SUS476" s="54"/>
      <c r="SUT476" s="54"/>
      <c r="SUU476" s="54"/>
      <c r="SUV476" s="54"/>
      <c r="SUW476" s="54"/>
      <c r="SUX476" s="54"/>
      <c r="SUY476" s="54"/>
      <c r="SUZ476" s="54"/>
      <c r="SVA476" s="54"/>
      <c r="SVB476" s="54"/>
      <c r="SVC476" s="54"/>
      <c r="SVD476" s="54"/>
      <c r="SVE476" s="54"/>
      <c r="SVF476" s="54"/>
      <c r="SVG476" s="54"/>
      <c r="SVH476" s="54"/>
      <c r="SVI476" s="54"/>
      <c r="SVJ476" s="54"/>
      <c r="SVK476" s="54"/>
      <c r="SVL476" s="54"/>
      <c r="SVM476" s="54"/>
      <c r="SVN476" s="54"/>
      <c r="SVO476" s="54"/>
      <c r="SVP476" s="54"/>
      <c r="SVQ476" s="54"/>
      <c r="SVR476" s="54"/>
      <c r="SVS476" s="54"/>
      <c r="SVT476" s="54"/>
      <c r="SVU476" s="54"/>
      <c r="SVV476" s="54"/>
      <c r="SVW476" s="54"/>
      <c r="SVX476" s="54"/>
      <c r="SVY476" s="54"/>
      <c r="SVZ476" s="54"/>
      <c r="SWA476" s="54"/>
      <c r="SWB476" s="54"/>
      <c r="SWC476" s="54"/>
      <c r="SWD476" s="54"/>
      <c r="SWE476" s="54"/>
      <c r="SWF476" s="54"/>
      <c r="SWG476" s="54"/>
      <c r="SWH476" s="54"/>
      <c r="SWI476" s="54"/>
      <c r="SWJ476" s="54"/>
      <c r="SWK476" s="54"/>
      <c r="SWL476" s="54"/>
      <c r="SWM476" s="54"/>
      <c r="SWN476" s="54"/>
      <c r="SWO476" s="54"/>
      <c r="SWP476" s="54"/>
      <c r="SWQ476" s="54"/>
      <c r="SWR476" s="54"/>
      <c r="SWS476" s="54"/>
      <c r="SWT476" s="54"/>
      <c r="SWU476" s="54"/>
      <c r="SWV476" s="54"/>
      <c r="SWW476" s="54"/>
      <c r="SWX476" s="54"/>
      <c r="SWY476" s="54"/>
      <c r="SWZ476" s="54"/>
      <c r="SXA476" s="54"/>
      <c r="SXB476" s="54"/>
      <c r="SXC476" s="54"/>
      <c r="SXD476" s="54"/>
      <c r="SXE476" s="54"/>
      <c r="SXF476" s="54"/>
      <c r="SXG476" s="54"/>
      <c r="SXH476" s="54"/>
      <c r="SXI476" s="54"/>
      <c r="SXJ476" s="54"/>
      <c r="SXK476" s="54"/>
      <c r="SXL476" s="54"/>
      <c r="SXM476" s="54"/>
      <c r="SXN476" s="54"/>
      <c r="SXO476" s="54"/>
      <c r="SXP476" s="54"/>
      <c r="SXQ476" s="54"/>
      <c r="SXR476" s="54"/>
      <c r="SXS476" s="54"/>
      <c r="SXT476" s="54"/>
      <c r="SXU476" s="54"/>
      <c r="SXV476" s="54"/>
      <c r="SXW476" s="54"/>
      <c r="SXX476" s="54"/>
      <c r="SXY476" s="54"/>
      <c r="SXZ476" s="54"/>
      <c r="SYA476" s="54"/>
      <c r="SYB476" s="54"/>
      <c r="SYC476" s="54"/>
      <c r="SYD476" s="54"/>
      <c r="SYE476" s="54"/>
      <c r="SYF476" s="54"/>
      <c r="SYG476" s="54"/>
      <c r="SYH476" s="54"/>
      <c r="SYI476" s="54"/>
      <c r="SYJ476" s="54"/>
      <c r="SYK476" s="54"/>
      <c r="SYL476" s="54"/>
      <c r="SYM476" s="54"/>
      <c r="SYN476" s="54"/>
      <c r="SYO476" s="54"/>
      <c r="SYP476" s="54"/>
      <c r="SYQ476" s="54"/>
      <c r="SYR476" s="54"/>
      <c r="SYS476" s="54"/>
      <c r="SYT476" s="54"/>
      <c r="SYU476" s="54"/>
      <c r="SYV476" s="54"/>
      <c r="SYW476" s="54"/>
      <c r="SYX476" s="54"/>
      <c r="SYY476" s="54"/>
      <c r="SYZ476" s="54"/>
      <c r="SZA476" s="54"/>
      <c r="SZB476" s="54"/>
      <c r="SZC476" s="54"/>
      <c r="SZD476" s="54"/>
      <c r="SZE476" s="54"/>
      <c r="SZF476" s="54"/>
      <c r="SZG476" s="54"/>
      <c r="SZH476" s="54"/>
      <c r="SZI476" s="54"/>
      <c r="SZJ476" s="54"/>
      <c r="SZK476" s="54"/>
      <c r="SZL476" s="54"/>
      <c r="SZM476" s="54"/>
      <c r="SZN476" s="54"/>
      <c r="SZO476" s="54"/>
      <c r="SZP476" s="54"/>
      <c r="SZQ476" s="54"/>
      <c r="SZR476" s="54"/>
      <c r="SZS476" s="54"/>
      <c r="SZT476" s="54"/>
      <c r="SZU476" s="54"/>
      <c r="SZV476" s="54"/>
      <c r="SZW476" s="54"/>
      <c r="SZX476" s="54"/>
      <c r="SZY476" s="54"/>
      <c r="SZZ476" s="54"/>
      <c r="TAA476" s="54"/>
      <c r="TAB476" s="54"/>
      <c r="TAC476" s="54"/>
      <c r="TAD476" s="54"/>
      <c r="TAE476" s="54"/>
      <c r="TAF476" s="54"/>
      <c r="TAG476" s="54"/>
      <c r="TAH476" s="54"/>
      <c r="TAI476" s="54"/>
      <c r="TAJ476" s="54"/>
      <c r="TAK476" s="54"/>
      <c r="TAL476" s="54"/>
      <c r="TAM476" s="54"/>
      <c r="TAN476" s="54"/>
      <c r="TAO476" s="54"/>
      <c r="TAP476" s="54"/>
      <c r="TAQ476" s="54"/>
      <c r="TAR476" s="54"/>
      <c r="TAS476" s="54"/>
      <c r="TAT476" s="54"/>
      <c r="TAU476" s="54"/>
      <c r="TAV476" s="54"/>
      <c r="TAW476" s="54"/>
      <c r="TAX476" s="54"/>
      <c r="TAY476" s="54"/>
      <c r="TAZ476" s="54"/>
      <c r="TBA476" s="54"/>
      <c r="TBB476" s="54"/>
      <c r="TBC476" s="54"/>
      <c r="TBD476" s="54"/>
      <c r="TBE476" s="54"/>
      <c r="TBF476" s="54"/>
      <c r="TBG476" s="54"/>
      <c r="TBH476" s="54"/>
      <c r="TBI476" s="54"/>
      <c r="TBJ476" s="54"/>
      <c r="TBK476" s="54"/>
      <c r="TBL476" s="54"/>
      <c r="TBM476" s="54"/>
      <c r="TBN476" s="54"/>
      <c r="TBO476" s="54"/>
      <c r="TBP476" s="54"/>
      <c r="TBQ476" s="54"/>
      <c r="TBR476" s="54"/>
      <c r="TBS476" s="54"/>
      <c r="TBT476" s="54"/>
      <c r="TBU476" s="54"/>
      <c r="TBV476" s="54"/>
      <c r="TBW476" s="54"/>
      <c r="TBX476" s="54"/>
      <c r="TBY476" s="54"/>
      <c r="TBZ476" s="54"/>
      <c r="TCA476" s="54"/>
      <c r="TCB476" s="54"/>
      <c r="TCC476" s="54"/>
      <c r="TCD476" s="54"/>
      <c r="TCE476" s="54"/>
      <c r="TCF476" s="54"/>
      <c r="TCG476" s="54"/>
      <c r="TCH476" s="54"/>
      <c r="TCI476" s="54"/>
      <c r="TCJ476" s="54"/>
      <c r="TCK476" s="54"/>
      <c r="TCL476" s="54"/>
      <c r="TCM476" s="54"/>
      <c r="TCN476" s="54"/>
      <c r="TCO476" s="54"/>
      <c r="TCP476" s="54"/>
      <c r="TCQ476" s="54"/>
      <c r="TCR476" s="54"/>
      <c r="TCS476" s="54"/>
      <c r="TCT476" s="54"/>
      <c r="TCU476" s="54"/>
      <c r="TCV476" s="54"/>
      <c r="TCW476" s="54"/>
      <c r="TCX476" s="54"/>
      <c r="TCY476" s="54"/>
      <c r="TCZ476" s="54"/>
      <c r="TDA476" s="54"/>
      <c r="TDB476" s="54"/>
      <c r="TDC476" s="54"/>
      <c r="TDD476" s="54"/>
      <c r="TDE476" s="54"/>
      <c r="TDF476" s="54"/>
      <c r="TDG476" s="54"/>
      <c r="TDH476" s="54"/>
      <c r="TDI476" s="54"/>
      <c r="TDJ476" s="54"/>
      <c r="TDK476" s="54"/>
      <c r="TDL476" s="54"/>
      <c r="TDM476" s="54"/>
      <c r="TDN476" s="54"/>
      <c r="TDO476" s="54"/>
      <c r="TDP476" s="54"/>
      <c r="TDQ476" s="54"/>
      <c r="TDR476" s="54"/>
      <c r="TDS476" s="54"/>
      <c r="TDT476" s="54"/>
      <c r="TDU476" s="54"/>
      <c r="TDV476" s="54"/>
      <c r="TDW476" s="54"/>
      <c r="TDX476" s="54"/>
      <c r="TDY476" s="54"/>
      <c r="TDZ476" s="54"/>
      <c r="TEA476" s="54"/>
      <c r="TEB476" s="54"/>
      <c r="TEC476" s="54"/>
      <c r="TED476" s="54"/>
      <c r="TEE476" s="54"/>
      <c r="TEF476" s="54"/>
      <c r="TEG476" s="54"/>
      <c r="TEH476" s="54"/>
      <c r="TEI476" s="54"/>
      <c r="TEJ476" s="54"/>
      <c r="TEK476" s="54"/>
      <c r="TEL476" s="54"/>
      <c r="TEM476" s="54"/>
      <c r="TEN476" s="54"/>
      <c r="TEO476" s="54"/>
      <c r="TEP476" s="54"/>
      <c r="TEQ476" s="54"/>
      <c r="TER476" s="54"/>
      <c r="TES476" s="54"/>
      <c r="TET476" s="54"/>
      <c r="TEU476" s="54"/>
      <c r="TEV476" s="54"/>
      <c r="TEW476" s="54"/>
      <c r="TEX476" s="54"/>
      <c r="TEY476" s="54"/>
      <c r="TEZ476" s="54"/>
      <c r="TFA476" s="54"/>
      <c r="TFB476" s="54"/>
      <c r="TFC476" s="54"/>
      <c r="TFD476" s="54"/>
      <c r="TFE476" s="54"/>
      <c r="TFF476" s="54"/>
      <c r="TFG476" s="54"/>
      <c r="TFH476" s="54"/>
      <c r="TFI476" s="54"/>
      <c r="TFJ476" s="54"/>
      <c r="TFK476" s="54"/>
      <c r="TFL476" s="54"/>
      <c r="TFM476" s="54"/>
      <c r="TFN476" s="54"/>
      <c r="TFO476" s="54"/>
      <c r="TFP476" s="54"/>
      <c r="TFQ476" s="54"/>
      <c r="TFR476" s="54"/>
      <c r="TFS476" s="54"/>
      <c r="TFT476" s="54"/>
      <c r="TFU476" s="54"/>
      <c r="TFV476" s="54"/>
      <c r="TFW476" s="54"/>
      <c r="TFX476" s="54"/>
      <c r="TFY476" s="54"/>
      <c r="TFZ476" s="54"/>
      <c r="TGA476" s="54"/>
      <c r="TGB476" s="54"/>
      <c r="TGC476" s="54"/>
      <c r="TGD476" s="54"/>
      <c r="TGE476" s="54"/>
      <c r="TGF476" s="54"/>
      <c r="TGG476" s="54"/>
      <c r="TGH476" s="54"/>
      <c r="TGI476" s="54"/>
      <c r="TGJ476" s="54"/>
      <c r="TGK476" s="54"/>
      <c r="TGL476" s="54"/>
      <c r="TGM476" s="54"/>
      <c r="TGN476" s="54"/>
      <c r="TGO476" s="54"/>
      <c r="TGP476" s="54"/>
      <c r="TGQ476" s="54"/>
      <c r="TGR476" s="54"/>
      <c r="TGS476" s="54"/>
      <c r="TGT476" s="54"/>
      <c r="TGU476" s="54"/>
      <c r="TGV476" s="54"/>
      <c r="TGW476" s="54"/>
      <c r="TGX476" s="54"/>
      <c r="TGY476" s="54"/>
      <c r="TGZ476" s="54"/>
      <c r="THA476" s="54"/>
      <c r="THB476" s="54"/>
      <c r="THC476" s="54"/>
      <c r="THD476" s="54"/>
      <c r="THE476" s="54"/>
      <c r="THF476" s="54"/>
      <c r="THG476" s="54"/>
      <c r="THH476" s="54"/>
      <c r="THI476" s="54"/>
      <c r="THJ476" s="54"/>
      <c r="THK476" s="54"/>
      <c r="THL476" s="54"/>
      <c r="THM476" s="54"/>
      <c r="THN476" s="54"/>
      <c r="THO476" s="54"/>
      <c r="THP476" s="54"/>
      <c r="THQ476" s="54"/>
      <c r="THR476" s="54"/>
      <c r="THS476" s="54"/>
      <c r="THT476" s="54"/>
      <c r="THU476" s="54"/>
      <c r="THV476" s="54"/>
      <c r="THW476" s="54"/>
      <c r="THX476" s="54"/>
      <c r="THY476" s="54"/>
      <c r="THZ476" s="54"/>
      <c r="TIA476" s="54"/>
      <c r="TIB476" s="54"/>
      <c r="TIC476" s="54"/>
      <c r="TID476" s="54"/>
      <c r="TIE476" s="54"/>
      <c r="TIF476" s="54"/>
      <c r="TIG476" s="54"/>
      <c r="TIH476" s="54"/>
      <c r="TII476" s="54"/>
      <c r="TIJ476" s="54"/>
      <c r="TIK476" s="54"/>
      <c r="TIL476" s="54"/>
      <c r="TIM476" s="54"/>
      <c r="TIN476" s="54"/>
      <c r="TIO476" s="54"/>
      <c r="TIP476" s="54"/>
      <c r="TIQ476" s="54"/>
      <c r="TIR476" s="54"/>
      <c r="TIS476" s="54"/>
      <c r="TIT476" s="54"/>
      <c r="TIU476" s="54"/>
      <c r="TIV476" s="54"/>
      <c r="TIW476" s="54"/>
      <c r="TIX476" s="54"/>
      <c r="TIY476" s="54"/>
      <c r="TIZ476" s="54"/>
      <c r="TJA476" s="54"/>
      <c r="TJB476" s="54"/>
      <c r="TJC476" s="54"/>
      <c r="TJD476" s="54"/>
      <c r="TJE476" s="54"/>
      <c r="TJF476" s="54"/>
      <c r="TJG476" s="54"/>
      <c r="TJH476" s="54"/>
      <c r="TJI476" s="54"/>
      <c r="TJJ476" s="54"/>
      <c r="TJK476" s="54"/>
      <c r="TJL476" s="54"/>
      <c r="TJM476" s="54"/>
      <c r="TJN476" s="54"/>
      <c r="TJO476" s="54"/>
      <c r="TJP476" s="54"/>
      <c r="TJQ476" s="54"/>
      <c r="TJR476" s="54"/>
      <c r="TJS476" s="54"/>
      <c r="TJT476" s="54"/>
      <c r="TJU476" s="54"/>
      <c r="TJV476" s="54"/>
      <c r="TJW476" s="54"/>
      <c r="TJX476" s="54"/>
      <c r="TJY476" s="54"/>
      <c r="TJZ476" s="54"/>
      <c r="TKA476" s="54"/>
      <c r="TKB476" s="54"/>
      <c r="TKC476" s="54"/>
      <c r="TKD476" s="54"/>
      <c r="TKE476" s="54"/>
      <c r="TKF476" s="54"/>
      <c r="TKG476" s="54"/>
      <c r="TKH476" s="54"/>
      <c r="TKI476" s="54"/>
      <c r="TKJ476" s="54"/>
      <c r="TKK476" s="54"/>
      <c r="TKL476" s="54"/>
      <c r="TKM476" s="54"/>
      <c r="TKN476" s="54"/>
      <c r="TKO476" s="54"/>
      <c r="TKP476" s="54"/>
      <c r="TKQ476" s="54"/>
      <c r="TKR476" s="54"/>
      <c r="TKS476" s="54"/>
      <c r="TKT476" s="54"/>
      <c r="TKU476" s="54"/>
      <c r="TKV476" s="54"/>
      <c r="TKW476" s="54"/>
      <c r="TKX476" s="54"/>
      <c r="TKY476" s="54"/>
      <c r="TKZ476" s="54"/>
      <c r="TLA476" s="54"/>
      <c r="TLB476" s="54"/>
      <c r="TLC476" s="54"/>
      <c r="TLD476" s="54"/>
      <c r="TLE476" s="54"/>
      <c r="TLF476" s="54"/>
      <c r="TLG476" s="54"/>
      <c r="TLH476" s="54"/>
      <c r="TLI476" s="54"/>
      <c r="TLJ476" s="54"/>
      <c r="TLK476" s="54"/>
      <c r="TLL476" s="54"/>
      <c r="TLM476" s="54"/>
      <c r="TLN476" s="54"/>
      <c r="TLO476" s="54"/>
      <c r="TLP476" s="54"/>
      <c r="TLQ476" s="54"/>
      <c r="TLR476" s="54"/>
      <c r="TLS476" s="54"/>
      <c r="TLT476" s="54"/>
      <c r="TLU476" s="54"/>
      <c r="TLV476" s="54"/>
      <c r="TLW476" s="54"/>
      <c r="TLX476" s="54"/>
      <c r="TLY476" s="54"/>
      <c r="TLZ476" s="54"/>
      <c r="TMA476" s="54"/>
      <c r="TMB476" s="54"/>
      <c r="TMC476" s="54"/>
      <c r="TMD476" s="54"/>
      <c r="TME476" s="54"/>
      <c r="TMF476" s="54"/>
      <c r="TMG476" s="54"/>
      <c r="TMH476" s="54"/>
      <c r="TMI476" s="54"/>
      <c r="TMJ476" s="54"/>
      <c r="TMK476" s="54"/>
      <c r="TML476" s="54"/>
      <c r="TMM476" s="54"/>
      <c r="TMN476" s="54"/>
      <c r="TMO476" s="54"/>
      <c r="TMP476" s="54"/>
      <c r="TMQ476" s="54"/>
      <c r="TMR476" s="54"/>
      <c r="TMS476" s="54"/>
      <c r="TMT476" s="54"/>
      <c r="TMU476" s="54"/>
      <c r="TMV476" s="54"/>
      <c r="TMW476" s="54"/>
      <c r="TMX476" s="54"/>
      <c r="TMY476" s="54"/>
      <c r="TMZ476" s="54"/>
      <c r="TNA476" s="54"/>
      <c r="TNB476" s="54"/>
      <c r="TNC476" s="54"/>
      <c r="TND476" s="54"/>
      <c r="TNE476" s="54"/>
      <c r="TNF476" s="54"/>
      <c r="TNG476" s="54"/>
      <c r="TNH476" s="54"/>
      <c r="TNI476" s="54"/>
      <c r="TNJ476" s="54"/>
      <c r="TNK476" s="54"/>
      <c r="TNL476" s="54"/>
      <c r="TNM476" s="54"/>
      <c r="TNN476" s="54"/>
      <c r="TNO476" s="54"/>
      <c r="TNP476" s="54"/>
      <c r="TNQ476" s="54"/>
      <c r="TNR476" s="54"/>
      <c r="TNS476" s="54"/>
      <c r="TNT476" s="54"/>
      <c r="TNU476" s="54"/>
      <c r="TNV476" s="54"/>
      <c r="TNW476" s="54"/>
      <c r="TNX476" s="54"/>
      <c r="TNY476" s="54"/>
      <c r="TNZ476" s="54"/>
      <c r="TOA476" s="54"/>
      <c r="TOB476" s="54"/>
      <c r="TOC476" s="54"/>
      <c r="TOD476" s="54"/>
      <c r="TOE476" s="54"/>
      <c r="TOF476" s="54"/>
      <c r="TOG476" s="54"/>
      <c r="TOH476" s="54"/>
      <c r="TOI476" s="54"/>
      <c r="TOJ476" s="54"/>
      <c r="TOK476" s="54"/>
      <c r="TOL476" s="54"/>
      <c r="TOM476" s="54"/>
      <c r="TON476" s="54"/>
      <c r="TOO476" s="54"/>
      <c r="TOP476" s="54"/>
      <c r="TOQ476" s="54"/>
      <c r="TOR476" s="54"/>
      <c r="TOS476" s="54"/>
      <c r="TOT476" s="54"/>
      <c r="TOU476" s="54"/>
      <c r="TOV476" s="54"/>
      <c r="TOW476" s="54"/>
      <c r="TOX476" s="54"/>
      <c r="TOY476" s="54"/>
      <c r="TOZ476" s="54"/>
      <c r="TPA476" s="54"/>
      <c r="TPB476" s="54"/>
      <c r="TPC476" s="54"/>
      <c r="TPD476" s="54"/>
      <c r="TPE476" s="54"/>
      <c r="TPF476" s="54"/>
      <c r="TPG476" s="54"/>
      <c r="TPH476" s="54"/>
      <c r="TPI476" s="54"/>
      <c r="TPJ476" s="54"/>
      <c r="TPK476" s="54"/>
      <c r="TPL476" s="54"/>
      <c r="TPM476" s="54"/>
      <c r="TPN476" s="54"/>
      <c r="TPO476" s="54"/>
      <c r="TPP476" s="54"/>
      <c r="TPQ476" s="54"/>
      <c r="TPR476" s="54"/>
      <c r="TPS476" s="54"/>
      <c r="TPT476" s="54"/>
      <c r="TPU476" s="54"/>
      <c r="TPV476" s="54"/>
      <c r="TPW476" s="54"/>
      <c r="TPX476" s="54"/>
      <c r="TPY476" s="54"/>
      <c r="TPZ476" s="54"/>
      <c r="TQA476" s="54"/>
      <c r="TQB476" s="54"/>
      <c r="TQC476" s="54"/>
      <c r="TQD476" s="54"/>
      <c r="TQE476" s="54"/>
      <c r="TQF476" s="54"/>
      <c r="TQG476" s="54"/>
      <c r="TQH476" s="54"/>
      <c r="TQI476" s="54"/>
      <c r="TQJ476" s="54"/>
      <c r="TQK476" s="54"/>
      <c r="TQL476" s="54"/>
      <c r="TQM476" s="54"/>
      <c r="TQN476" s="54"/>
      <c r="TQO476" s="54"/>
      <c r="TQP476" s="54"/>
      <c r="TQQ476" s="54"/>
      <c r="TQR476" s="54"/>
      <c r="TQS476" s="54"/>
      <c r="TQT476" s="54"/>
      <c r="TQU476" s="54"/>
      <c r="TQV476" s="54"/>
      <c r="TQW476" s="54"/>
      <c r="TQX476" s="54"/>
      <c r="TQY476" s="54"/>
      <c r="TQZ476" s="54"/>
      <c r="TRA476" s="54"/>
      <c r="TRB476" s="54"/>
      <c r="TRC476" s="54"/>
      <c r="TRD476" s="54"/>
      <c r="TRE476" s="54"/>
      <c r="TRF476" s="54"/>
      <c r="TRG476" s="54"/>
      <c r="TRH476" s="54"/>
      <c r="TRI476" s="54"/>
      <c r="TRJ476" s="54"/>
      <c r="TRK476" s="54"/>
      <c r="TRL476" s="54"/>
      <c r="TRM476" s="54"/>
      <c r="TRN476" s="54"/>
      <c r="TRO476" s="54"/>
      <c r="TRP476" s="54"/>
      <c r="TRQ476" s="54"/>
      <c r="TRR476" s="54"/>
      <c r="TRS476" s="54"/>
      <c r="TRT476" s="54"/>
      <c r="TRU476" s="54"/>
      <c r="TRV476" s="54"/>
      <c r="TRW476" s="54"/>
      <c r="TRX476" s="54"/>
      <c r="TRY476" s="54"/>
      <c r="TRZ476" s="54"/>
      <c r="TSA476" s="54"/>
      <c r="TSB476" s="54"/>
      <c r="TSC476" s="54"/>
      <c r="TSD476" s="54"/>
      <c r="TSE476" s="54"/>
      <c r="TSF476" s="54"/>
      <c r="TSG476" s="54"/>
      <c r="TSH476" s="54"/>
      <c r="TSI476" s="54"/>
      <c r="TSJ476" s="54"/>
      <c r="TSK476" s="54"/>
      <c r="TSL476" s="54"/>
      <c r="TSM476" s="54"/>
      <c r="TSN476" s="54"/>
      <c r="TSO476" s="54"/>
      <c r="TSP476" s="54"/>
      <c r="TSQ476" s="54"/>
      <c r="TSR476" s="54"/>
      <c r="TSS476" s="54"/>
      <c r="TST476" s="54"/>
      <c r="TSU476" s="54"/>
      <c r="TSV476" s="54"/>
      <c r="TSW476" s="54"/>
      <c r="TSX476" s="54"/>
      <c r="TSY476" s="54"/>
      <c r="TSZ476" s="54"/>
      <c r="TTA476" s="54"/>
      <c r="TTB476" s="54"/>
      <c r="TTC476" s="54"/>
      <c r="TTD476" s="54"/>
      <c r="TTE476" s="54"/>
      <c r="TTF476" s="54"/>
      <c r="TTG476" s="54"/>
      <c r="TTH476" s="54"/>
      <c r="TTI476" s="54"/>
      <c r="TTJ476" s="54"/>
      <c r="TTK476" s="54"/>
      <c r="TTL476" s="54"/>
      <c r="TTM476" s="54"/>
      <c r="TTN476" s="54"/>
      <c r="TTO476" s="54"/>
      <c r="TTP476" s="54"/>
      <c r="TTQ476" s="54"/>
      <c r="TTR476" s="54"/>
      <c r="TTS476" s="54"/>
      <c r="TTT476" s="54"/>
      <c r="TTU476" s="54"/>
      <c r="TTV476" s="54"/>
      <c r="TTW476" s="54"/>
      <c r="TTX476" s="54"/>
      <c r="TTY476" s="54"/>
      <c r="TTZ476" s="54"/>
      <c r="TUA476" s="54"/>
      <c r="TUB476" s="54"/>
      <c r="TUC476" s="54"/>
      <c r="TUD476" s="54"/>
      <c r="TUE476" s="54"/>
      <c r="TUF476" s="54"/>
      <c r="TUG476" s="54"/>
      <c r="TUH476" s="54"/>
      <c r="TUI476" s="54"/>
      <c r="TUJ476" s="54"/>
      <c r="TUK476" s="54"/>
      <c r="TUL476" s="54"/>
      <c r="TUM476" s="54"/>
      <c r="TUN476" s="54"/>
      <c r="TUO476" s="54"/>
      <c r="TUP476" s="54"/>
      <c r="TUQ476" s="54"/>
      <c r="TUR476" s="54"/>
      <c r="TUS476" s="54"/>
      <c r="TUT476" s="54"/>
      <c r="TUU476" s="54"/>
      <c r="TUV476" s="54"/>
      <c r="TUW476" s="54"/>
      <c r="TUX476" s="54"/>
      <c r="TUY476" s="54"/>
      <c r="TUZ476" s="54"/>
      <c r="TVA476" s="54"/>
      <c r="TVB476" s="54"/>
      <c r="TVC476" s="54"/>
      <c r="TVD476" s="54"/>
      <c r="TVE476" s="54"/>
      <c r="TVF476" s="54"/>
      <c r="TVG476" s="54"/>
      <c r="TVH476" s="54"/>
      <c r="TVI476" s="54"/>
      <c r="TVJ476" s="54"/>
      <c r="TVK476" s="54"/>
      <c r="TVL476" s="54"/>
      <c r="TVM476" s="54"/>
      <c r="TVN476" s="54"/>
      <c r="TVO476" s="54"/>
      <c r="TVP476" s="54"/>
      <c r="TVQ476" s="54"/>
      <c r="TVR476" s="54"/>
      <c r="TVS476" s="54"/>
      <c r="TVT476" s="54"/>
      <c r="TVU476" s="54"/>
      <c r="TVV476" s="54"/>
      <c r="TVW476" s="54"/>
      <c r="TVX476" s="54"/>
      <c r="TVY476" s="54"/>
      <c r="TVZ476" s="54"/>
      <c r="TWA476" s="54"/>
      <c r="TWB476" s="54"/>
      <c r="TWC476" s="54"/>
      <c r="TWD476" s="54"/>
      <c r="TWE476" s="54"/>
      <c r="TWF476" s="54"/>
      <c r="TWG476" s="54"/>
      <c r="TWH476" s="54"/>
      <c r="TWI476" s="54"/>
      <c r="TWJ476" s="54"/>
      <c r="TWK476" s="54"/>
      <c r="TWL476" s="54"/>
      <c r="TWM476" s="54"/>
      <c r="TWN476" s="54"/>
      <c r="TWO476" s="54"/>
      <c r="TWP476" s="54"/>
      <c r="TWQ476" s="54"/>
      <c r="TWR476" s="54"/>
      <c r="TWS476" s="54"/>
      <c r="TWT476" s="54"/>
      <c r="TWU476" s="54"/>
      <c r="TWV476" s="54"/>
      <c r="TWW476" s="54"/>
      <c r="TWX476" s="54"/>
      <c r="TWY476" s="54"/>
      <c r="TWZ476" s="54"/>
      <c r="TXA476" s="54"/>
      <c r="TXB476" s="54"/>
      <c r="TXC476" s="54"/>
      <c r="TXD476" s="54"/>
      <c r="TXE476" s="54"/>
      <c r="TXF476" s="54"/>
      <c r="TXG476" s="54"/>
      <c r="TXH476" s="54"/>
      <c r="TXI476" s="54"/>
      <c r="TXJ476" s="54"/>
      <c r="TXK476" s="54"/>
      <c r="TXL476" s="54"/>
      <c r="TXM476" s="54"/>
      <c r="TXN476" s="54"/>
      <c r="TXO476" s="54"/>
      <c r="TXP476" s="54"/>
      <c r="TXQ476" s="54"/>
      <c r="TXR476" s="54"/>
      <c r="TXS476" s="54"/>
      <c r="TXT476" s="54"/>
      <c r="TXU476" s="54"/>
      <c r="TXV476" s="54"/>
      <c r="TXW476" s="54"/>
      <c r="TXX476" s="54"/>
      <c r="TXY476" s="54"/>
      <c r="TXZ476" s="54"/>
      <c r="TYA476" s="54"/>
      <c r="TYB476" s="54"/>
      <c r="TYC476" s="54"/>
      <c r="TYD476" s="54"/>
      <c r="TYE476" s="54"/>
      <c r="TYF476" s="54"/>
      <c r="TYG476" s="54"/>
      <c r="TYH476" s="54"/>
      <c r="TYI476" s="54"/>
      <c r="TYJ476" s="54"/>
      <c r="TYK476" s="54"/>
      <c r="TYL476" s="54"/>
      <c r="TYM476" s="54"/>
      <c r="TYN476" s="54"/>
      <c r="TYO476" s="54"/>
      <c r="TYP476" s="54"/>
      <c r="TYQ476" s="54"/>
      <c r="TYR476" s="54"/>
      <c r="TYS476" s="54"/>
      <c r="TYT476" s="54"/>
      <c r="TYU476" s="54"/>
      <c r="TYV476" s="54"/>
      <c r="TYW476" s="54"/>
      <c r="TYX476" s="54"/>
      <c r="TYY476" s="54"/>
      <c r="TYZ476" s="54"/>
      <c r="TZA476" s="54"/>
      <c r="TZB476" s="54"/>
      <c r="TZC476" s="54"/>
      <c r="TZD476" s="54"/>
      <c r="TZE476" s="54"/>
      <c r="TZF476" s="54"/>
      <c r="TZG476" s="54"/>
      <c r="TZH476" s="54"/>
      <c r="TZI476" s="54"/>
      <c r="TZJ476" s="54"/>
      <c r="TZK476" s="54"/>
      <c r="TZL476" s="54"/>
      <c r="TZM476" s="54"/>
      <c r="TZN476" s="54"/>
      <c r="TZO476" s="54"/>
      <c r="TZP476" s="54"/>
      <c r="TZQ476" s="54"/>
      <c r="TZR476" s="54"/>
      <c r="TZS476" s="54"/>
      <c r="TZT476" s="54"/>
      <c r="TZU476" s="54"/>
      <c r="TZV476" s="54"/>
      <c r="TZW476" s="54"/>
      <c r="TZX476" s="54"/>
      <c r="TZY476" s="54"/>
      <c r="TZZ476" s="54"/>
      <c r="UAA476" s="54"/>
      <c r="UAB476" s="54"/>
      <c r="UAC476" s="54"/>
      <c r="UAD476" s="54"/>
      <c r="UAE476" s="54"/>
      <c r="UAF476" s="54"/>
      <c r="UAG476" s="54"/>
      <c r="UAH476" s="54"/>
      <c r="UAI476" s="54"/>
      <c r="UAJ476" s="54"/>
      <c r="UAK476" s="54"/>
      <c r="UAL476" s="54"/>
      <c r="UAM476" s="54"/>
      <c r="UAN476" s="54"/>
      <c r="UAO476" s="54"/>
      <c r="UAP476" s="54"/>
      <c r="UAQ476" s="54"/>
      <c r="UAR476" s="54"/>
      <c r="UAS476" s="54"/>
      <c r="UAT476" s="54"/>
      <c r="UAU476" s="54"/>
      <c r="UAV476" s="54"/>
      <c r="UAW476" s="54"/>
      <c r="UAX476" s="54"/>
      <c r="UAY476" s="54"/>
      <c r="UAZ476" s="54"/>
      <c r="UBA476" s="54"/>
      <c r="UBB476" s="54"/>
      <c r="UBC476" s="54"/>
      <c r="UBD476" s="54"/>
      <c r="UBE476" s="54"/>
      <c r="UBF476" s="54"/>
      <c r="UBG476" s="54"/>
      <c r="UBH476" s="54"/>
      <c r="UBI476" s="54"/>
      <c r="UBJ476" s="54"/>
      <c r="UBK476" s="54"/>
      <c r="UBL476" s="54"/>
      <c r="UBM476" s="54"/>
      <c r="UBN476" s="54"/>
      <c r="UBO476" s="54"/>
      <c r="UBP476" s="54"/>
      <c r="UBQ476" s="54"/>
      <c r="UBR476" s="54"/>
      <c r="UBS476" s="54"/>
      <c r="UBT476" s="54"/>
      <c r="UBU476" s="54"/>
      <c r="UBV476" s="54"/>
      <c r="UBW476" s="54"/>
      <c r="UBX476" s="54"/>
      <c r="UBY476" s="54"/>
      <c r="UBZ476" s="54"/>
      <c r="UCA476" s="54"/>
      <c r="UCB476" s="54"/>
      <c r="UCC476" s="54"/>
      <c r="UCD476" s="54"/>
      <c r="UCE476" s="54"/>
      <c r="UCF476" s="54"/>
      <c r="UCG476" s="54"/>
      <c r="UCH476" s="54"/>
      <c r="UCI476" s="54"/>
      <c r="UCJ476" s="54"/>
      <c r="UCK476" s="54"/>
      <c r="UCL476" s="54"/>
      <c r="UCM476" s="54"/>
      <c r="UCN476" s="54"/>
      <c r="UCO476" s="54"/>
      <c r="UCP476" s="54"/>
      <c r="UCQ476" s="54"/>
      <c r="UCR476" s="54"/>
      <c r="UCS476" s="54"/>
      <c r="UCT476" s="54"/>
      <c r="UCU476" s="54"/>
      <c r="UCV476" s="54"/>
      <c r="UCW476" s="54"/>
      <c r="UCX476" s="54"/>
      <c r="UCY476" s="54"/>
      <c r="UCZ476" s="54"/>
      <c r="UDA476" s="54"/>
      <c r="UDB476" s="54"/>
      <c r="UDC476" s="54"/>
      <c r="UDD476" s="54"/>
      <c r="UDE476" s="54"/>
      <c r="UDF476" s="54"/>
      <c r="UDG476" s="54"/>
      <c r="UDH476" s="54"/>
      <c r="UDI476" s="54"/>
      <c r="UDJ476" s="54"/>
      <c r="UDK476" s="54"/>
      <c r="UDL476" s="54"/>
      <c r="UDM476" s="54"/>
      <c r="UDN476" s="54"/>
      <c r="UDO476" s="54"/>
      <c r="UDP476" s="54"/>
      <c r="UDQ476" s="54"/>
      <c r="UDR476" s="54"/>
      <c r="UDS476" s="54"/>
      <c r="UDT476" s="54"/>
      <c r="UDU476" s="54"/>
      <c r="UDV476" s="54"/>
      <c r="UDW476" s="54"/>
      <c r="UDX476" s="54"/>
      <c r="UDY476" s="54"/>
      <c r="UDZ476" s="54"/>
      <c r="UEA476" s="54"/>
      <c r="UEB476" s="54"/>
      <c r="UEC476" s="54"/>
      <c r="UED476" s="54"/>
      <c r="UEE476" s="54"/>
      <c r="UEF476" s="54"/>
      <c r="UEG476" s="54"/>
      <c r="UEH476" s="54"/>
      <c r="UEI476" s="54"/>
      <c r="UEJ476" s="54"/>
      <c r="UEK476" s="54"/>
      <c r="UEL476" s="54"/>
      <c r="UEM476" s="54"/>
      <c r="UEN476" s="54"/>
      <c r="UEO476" s="54"/>
      <c r="UEP476" s="54"/>
      <c r="UEQ476" s="54"/>
      <c r="UER476" s="54"/>
      <c r="UES476" s="54"/>
      <c r="UET476" s="54"/>
      <c r="UEU476" s="54"/>
      <c r="UEV476" s="54"/>
      <c r="UEW476" s="54"/>
      <c r="UEX476" s="54"/>
      <c r="UEY476" s="54"/>
      <c r="UEZ476" s="54"/>
      <c r="UFA476" s="54"/>
      <c r="UFB476" s="54"/>
      <c r="UFC476" s="54"/>
      <c r="UFD476" s="54"/>
      <c r="UFE476" s="54"/>
      <c r="UFF476" s="54"/>
      <c r="UFG476" s="54"/>
      <c r="UFH476" s="54"/>
      <c r="UFI476" s="54"/>
      <c r="UFJ476" s="54"/>
      <c r="UFK476" s="54"/>
      <c r="UFL476" s="54"/>
      <c r="UFM476" s="54"/>
      <c r="UFN476" s="54"/>
      <c r="UFO476" s="54"/>
      <c r="UFP476" s="54"/>
      <c r="UFQ476" s="54"/>
      <c r="UFR476" s="54"/>
      <c r="UFS476" s="54"/>
      <c r="UFT476" s="54"/>
      <c r="UFU476" s="54"/>
      <c r="UFV476" s="54"/>
      <c r="UFW476" s="54"/>
      <c r="UFX476" s="54"/>
      <c r="UFY476" s="54"/>
      <c r="UFZ476" s="54"/>
      <c r="UGA476" s="54"/>
      <c r="UGB476" s="54"/>
      <c r="UGC476" s="54"/>
      <c r="UGD476" s="54"/>
      <c r="UGE476" s="54"/>
      <c r="UGF476" s="54"/>
      <c r="UGG476" s="54"/>
      <c r="UGH476" s="54"/>
      <c r="UGI476" s="54"/>
      <c r="UGJ476" s="54"/>
      <c r="UGK476" s="54"/>
      <c r="UGL476" s="54"/>
      <c r="UGM476" s="54"/>
      <c r="UGN476" s="54"/>
      <c r="UGO476" s="54"/>
      <c r="UGP476" s="54"/>
      <c r="UGQ476" s="54"/>
      <c r="UGR476" s="54"/>
      <c r="UGS476" s="54"/>
      <c r="UGT476" s="54"/>
      <c r="UGU476" s="54"/>
      <c r="UGV476" s="54"/>
      <c r="UGW476" s="54"/>
      <c r="UGX476" s="54"/>
      <c r="UGY476" s="54"/>
      <c r="UGZ476" s="54"/>
      <c r="UHA476" s="54"/>
      <c r="UHB476" s="54"/>
      <c r="UHC476" s="54"/>
      <c r="UHD476" s="54"/>
      <c r="UHE476" s="54"/>
      <c r="UHF476" s="54"/>
      <c r="UHG476" s="54"/>
      <c r="UHH476" s="54"/>
      <c r="UHI476" s="54"/>
      <c r="UHJ476" s="54"/>
      <c r="UHK476" s="54"/>
      <c r="UHL476" s="54"/>
      <c r="UHM476" s="54"/>
      <c r="UHN476" s="54"/>
      <c r="UHO476" s="54"/>
      <c r="UHP476" s="54"/>
      <c r="UHQ476" s="54"/>
      <c r="UHR476" s="54"/>
      <c r="UHS476" s="54"/>
      <c r="UHT476" s="54"/>
      <c r="UHU476" s="54"/>
      <c r="UHV476" s="54"/>
      <c r="UHW476" s="54"/>
      <c r="UHX476" s="54"/>
      <c r="UHY476" s="54"/>
      <c r="UHZ476" s="54"/>
      <c r="UIA476" s="54"/>
      <c r="UIB476" s="54"/>
      <c r="UIC476" s="54"/>
      <c r="UID476" s="54"/>
      <c r="UIE476" s="54"/>
      <c r="UIF476" s="54"/>
      <c r="UIG476" s="54"/>
      <c r="UIH476" s="54"/>
      <c r="UII476" s="54"/>
      <c r="UIJ476" s="54"/>
      <c r="UIK476" s="54"/>
      <c r="UIL476" s="54"/>
      <c r="UIM476" s="54"/>
      <c r="UIN476" s="54"/>
      <c r="UIO476" s="54"/>
      <c r="UIP476" s="54"/>
      <c r="UIQ476" s="54"/>
      <c r="UIR476" s="54"/>
      <c r="UIS476" s="54"/>
      <c r="UIT476" s="54"/>
      <c r="UIU476" s="54"/>
      <c r="UIV476" s="54"/>
      <c r="UIW476" s="54"/>
      <c r="UIX476" s="54"/>
      <c r="UIY476" s="54"/>
      <c r="UIZ476" s="54"/>
      <c r="UJA476" s="54"/>
      <c r="UJB476" s="54"/>
      <c r="UJC476" s="54"/>
      <c r="UJD476" s="54"/>
      <c r="UJE476" s="54"/>
      <c r="UJF476" s="54"/>
      <c r="UJG476" s="54"/>
      <c r="UJH476" s="54"/>
      <c r="UJI476" s="54"/>
      <c r="UJJ476" s="54"/>
      <c r="UJK476" s="54"/>
      <c r="UJL476" s="54"/>
      <c r="UJM476" s="54"/>
      <c r="UJN476" s="54"/>
      <c r="UJO476" s="54"/>
      <c r="UJP476" s="54"/>
      <c r="UJQ476" s="54"/>
      <c r="UJR476" s="54"/>
      <c r="UJS476" s="54"/>
      <c r="UJT476" s="54"/>
      <c r="UJU476" s="54"/>
      <c r="UJV476" s="54"/>
      <c r="UJW476" s="54"/>
      <c r="UJX476" s="54"/>
      <c r="UJY476" s="54"/>
      <c r="UJZ476" s="54"/>
      <c r="UKA476" s="54"/>
      <c r="UKB476" s="54"/>
      <c r="UKC476" s="54"/>
      <c r="UKD476" s="54"/>
      <c r="UKE476" s="54"/>
      <c r="UKF476" s="54"/>
      <c r="UKG476" s="54"/>
      <c r="UKH476" s="54"/>
      <c r="UKI476" s="54"/>
      <c r="UKJ476" s="54"/>
      <c r="UKK476" s="54"/>
      <c r="UKL476" s="54"/>
      <c r="UKM476" s="54"/>
      <c r="UKN476" s="54"/>
      <c r="UKO476" s="54"/>
      <c r="UKP476" s="54"/>
      <c r="UKQ476" s="54"/>
      <c r="UKR476" s="54"/>
      <c r="UKS476" s="54"/>
      <c r="UKT476" s="54"/>
      <c r="UKU476" s="54"/>
      <c r="UKV476" s="54"/>
      <c r="UKW476" s="54"/>
      <c r="UKX476" s="54"/>
      <c r="UKY476" s="54"/>
      <c r="UKZ476" s="54"/>
      <c r="ULA476" s="54"/>
      <c r="ULB476" s="54"/>
      <c r="ULC476" s="54"/>
      <c r="ULD476" s="54"/>
      <c r="ULE476" s="54"/>
      <c r="ULF476" s="54"/>
      <c r="ULG476" s="54"/>
      <c r="ULH476" s="54"/>
      <c r="ULI476" s="54"/>
      <c r="ULJ476" s="54"/>
      <c r="ULK476" s="54"/>
      <c r="ULL476" s="54"/>
      <c r="ULM476" s="54"/>
      <c r="ULN476" s="54"/>
      <c r="ULO476" s="54"/>
      <c r="ULP476" s="54"/>
      <c r="ULQ476" s="54"/>
      <c r="ULR476" s="54"/>
      <c r="ULS476" s="54"/>
      <c r="ULT476" s="54"/>
      <c r="ULU476" s="54"/>
      <c r="ULV476" s="54"/>
      <c r="ULW476" s="54"/>
      <c r="ULX476" s="54"/>
      <c r="ULY476" s="54"/>
      <c r="ULZ476" s="54"/>
      <c r="UMA476" s="54"/>
      <c r="UMB476" s="54"/>
      <c r="UMC476" s="54"/>
      <c r="UMD476" s="54"/>
      <c r="UME476" s="54"/>
      <c r="UMF476" s="54"/>
      <c r="UMG476" s="54"/>
      <c r="UMH476" s="54"/>
      <c r="UMI476" s="54"/>
      <c r="UMJ476" s="54"/>
      <c r="UMK476" s="54"/>
      <c r="UML476" s="54"/>
      <c r="UMM476" s="54"/>
      <c r="UMN476" s="54"/>
      <c r="UMO476" s="54"/>
      <c r="UMP476" s="54"/>
      <c r="UMQ476" s="54"/>
      <c r="UMR476" s="54"/>
      <c r="UMS476" s="54"/>
      <c r="UMT476" s="54"/>
      <c r="UMU476" s="54"/>
      <c r="UMV476" s="54"/>
      <c r="UMW476" s="54"/>
      <c r="UMX476" s="54"/>
      <c r="UMY476" s="54"/>
      <c r="UMZ476" s="54"/>
      <c r="UNA476" s="54"/>
      <c r="UNB476" s="54"/>
      <c r="UNC476" s="54"/>
      <c r="UND476" s="54"/>
      <c r="UNE476" s="54"/>
      <c r="UNF476" s="54"/>
      <c r="UNG476" s="54"/>
      <c r="UNH476" s="54"/>
      <c r="UNI476" s="54"/>
      <c r="UNJ476" s="54"/>
      <c r="UNK476" s="54"/>
      <c r="UNL476" s="54"/>
      <c r="UNM476" s="54"/>
      <c r="UNN476" s="54"/>
      <c r="UNO476" s="54"/>
      <c r="UNP476" s="54"/>
      <c r="UNQ476" s="54"/>
      <c r="UNR476" s="54"/>
      <c r="UNS476" s="54"/>
      <c r="UNT476" s="54"/>
      <c r="UNU476" s="54"/>
      <c r="UNV476" s="54"/>
      <c r="UNW476" s="54"/>
      <c r="UNX476" s="54"/>
      <c r="UNY476" s="54"/>
      <c r="UNZ476" s="54"/>
      <c r="UOA476" s="54"/>
      <c r="UOB476" s="54"/>
      <c r="UOC476" s="54"/>
      <c r="UOD476" s="54"/>
      <c r="UOE476" s="54"/>
      <c r="UOF476" s="54"/>
      <c r="UOG476" s="54"/>
      <c r="UOH476" s="54"/>
      <c r="UOI476" s="54"/>
      <c r="UOJ476" s="54"/>
      <c r="UOK476" s="54"/>
      <c r="UOL476" s="54"/>
      <c r="UOM476" s="54"/>
      <c r="UON476" s="54"/>
      <c r="UOO476" s="54"/>
      <c r="UOP476" s="54"/>
      <c r="UOQ476" s="54"/>
      <c r="UOR476" s="54"/>
      <c r="UOS476" s="54"/>
      <c r="UOT476" s="54"/>
      <c r="UOU476" s="54"/>
      <c r="UOV476" s="54"/>
      <c r="UOW476" s="54"/>
      <c r="UOX476" s="54"/>
      <c r="UOY476" s="54"/>
      <c r="UOZ476" s="54"/>
      <c r="UPA476" s="54"/>
      <c r="UPB476" s="54"/>
      <c r="UPC476" s="54"/>
      <c r="UPD476" s="54"/>
      <c r="UPE476" s="54"/>
      <c r="UPF476" s="54"/>
      <c r="UPG476" s="54"/>
      <c r="UPH476" s="54"/>
      <c r="UPI476" s="54"/>
      <c r="UPJ476" s="54"/>
      <c r="UPK476" s="54"/>
      <c r="UPL476" s="54"/>
      <c r="UPM476" s="54"/>
      <c r="UPN476" s="54"/>
      <c r="UPO476" s="54"/>
      <c r="UPP476" s="54"/>
      <c r="UPQ476" s="54"/>
      <c r="UPR476" s="54"/>
      <c r="UPS476" s="54"/>
      <c r="UPT476" s="54"/>
      <c r="UPU476" s="54"/>
      <c r="UPV476" s="54"/>
      <c r="UPW476" s="54"/>
      <c r="UPX476" s="54"/>
      <c r="UPY476" s="54"/>
      <c r="UPZ476" s="54"/>
      <c r="UQA476" s="54"/>
      <c r="UQB476" s="54"/>
      <c r="UQC476" s="54"/>
      <c r="UQD476" s="54"/>
      <c r="UQE476" s="54"/>
      <c r="UQF476" s="54"/>
      <c r="UQG476" s="54"/>
      <c r="UQH476" s="54"/>
      <c r="UQI476" s="54"/>
      <c r="UQJ476" s="54"/>
      <c r="UQK476" s="54"/>
      <c r="UQL476" s="54"/>
      <c r="UQM476" s="54"/>
      <c r="UQN476" s="54"/>
      <c r="UQO476" s="54"/>
      <c r="UQP476" s="54"/>
      <c r="UQQ476" s="54"/>
      <c r="UQR476" s="54"/>
      <c r="UQS476" s="54"/>
      <c r="UQT476" s="54"/>
      <c r="UQU476" s="54"/>
      <c r="UQV476" s="54"/>
      <c r="UQW476" s="54"/>
      <c r="UQX476" s="54"/>
      <c r="UQY476" s="54"/>
      <c r="UQZ476" s="54"/>
      <c r="URA476" s="54"/>
      <c r="URB476" s="54"/>
      <c r="URC476" s="54"/>
      <c r="URD476" s="54"/>
      <c r="URE476" s="54"/>
      <c r="URF476" s="54"/>
      <c r="URG476" s="54"/>
      <c r="URH476" s="54"/>
      <c r="URI476" s="54"/>
      <c r="URJ476" s="54"/>
      <c r="URK476" s="54"/>
      <c r="URL476" s="54"/>
      <c r="URM476" s="54"/>
      <c r="URN476" s="54"/>
      <c r="URO476" s="54"/>
      <c r="URP476" s="54"/>
      <c r="URQ476" s="54"/>
      <c r="URR476" s="54"/>
      <c r="URS476" s="54"/>
      <c r="URT476" s="54"/>
      <c r="URU476" s="54"/>
      <c r="URV476" s="54"/>
      <c r="URW476" s="54"/>
      <c r="URX476" s="54"/>
      <c r="URY476" s="54"/>
      <c r="URZ476" s="54"/>
      <c r="USA476" s="54"/>
      <c r="USB476" s="54"/>
      <c r="USC476" s="54"/>
      <c r="USD476" s="54"/>
      <c r="USE476" s="54"/>
      <c r="USF476" s="54"/>
      <c r="USG476" s="54"/>
      <c r="USH476" s="54"/>
      <c r="USI476" s="54"/>
      <c r="USJ476" s="54"/>
      <c r="USK476" s="54"/>
      <c r="USL476" s="54"/>
      <c r="USM476" s="54"/>
      <c r="USN476" s="54"/>
      <c r="USO476" s="54"/>
      <c r="USP476" s="54"/>
      <c r="USQ476" s="54"/>
      <c r="USR476" s="54"/>
      <c r="USS476" s="54"/>
      <c r="UST476" s="54"/>
      <c r="USU476" s="54"/>
      <c r="USV476" s="54"/>
      <c r="USW476" s="54"/>
      <c r="USX476" s="54"/>
      <c r="USY476" s="54"/>
      <c r="USZ476" s="54"/>
      <c r="UTA476" s="54"/>
      <c r="UTB476" s="54"/>
      <c r="UTC476" s="54"/>
      <c r="UTD476" s="54"/>
      <c r="UTE476" s="54"/>
      <c r="UTF476" s="54"/>
      <c r="UTG476" s="54"/>
      <c r="UTH476" s="54"/>
      <c r="UTI476" s="54"/>
      <c r="UTJ476" s="54"/>
      <c r="UTK476" s="54"/>
      <c r="UTL476" s="54"/>
      <c r="UTM476" s="54"/>
      <c r="UTN476" s="54"/>
      <c r="UTO476" s="54"/>
      <c r="UTP476" s="54"/>
      <c r="UTQ476" s="54"/>
      <c r="UTR476" s="54"/>
      <c r="UTS476" s="54"/>
      <c r="UTT476" s="54"/>
      <c r="UTU476" s="54"/>
      <c r="UTV476" s="54"/>
      <c r="UTW476" s="54"/>
      <c r="UTX476" s="54"/>
      <c r="UTY476" s="54"/>
      <c r="UTZ476" s="54"/>
      <c r="UUA476" s="54"/>
      <c r="UUB476" s="54"/>
      <c r="UUC476" s="54"/>
      <c r="UUD476" s="54"/>
      <c r="UUE476" s="54"/>
      <c r="UUF476" s="54"/>
      <c r="UUG476" s="54"/>
      <c r="UUH476" s="54"/>
      <c r="UUI476" s="54"/>
      <c r="UUJ476" s="54"/>
      <c r="UUK476" s="54"/>
      <c r="UUL476" s="54"/>
      <c r="UUM476" s="54"/>
      <c r="UUN476" s="54"/>
      <c r="UUO476" s="54"/>
      <c r="UUP476" s="54"/>
      <c r="UUQ476" s="54"/>
      <c r="UUR476" s="54"/>
      <c r="UUS476" s="54"/>
      <c r="UUT476" s="54"/>
      <c r="UUU476" s="54"/>
      <c r="UUV476" s="54"/>
      <c r="UUW476" s="54"/>
      <c r="UUX476" s="54"/>
      <c r="UUY476" s="54"/>
      <c r="UUZ476" s="54"/>
      <c r="UVA476" s="54"/>
      <c r="UVB476" s="54"/>
      <c r="UVC476" s="54"/>
      <c r="UVD476" s="54"/>
      <c r="UVE476" s="54"/>
      <c r="UVF476" s="54"/>
      <c r="UVG476" s="54"/>
      <c r="UVH476" s="54"/>
      <c r="UVI476" s="54"/>
      <c r="UVJ476" s="54"/>
      <c r="UVK476" s="54"/>
      <c r="UVL476" s="54"/>
      <c r="UVM476" s="54"/>
      <c r="UVN476" s="54"/>
      <c r="UVO476" s="54"/>
      <c r="UVP476" s="54"/>
      <c r="UVQ476" s="54"/>
      <c r="UVR476" s="54"/>
      <c r="UVS476" s="54"/>
      <c r="UVT476" s="54"/>
      <c r="UVU476" s="54"/>
      <c r="UVV476" s="54"/>
      <c r="UVW476" s="54"/>
      <c r="UVX476" s="54"/>
      <c r="UVY476" s="54"/>
      <c r="UVZ476" s="54"/>
      <c r="UWA476" s="54"/>
      <c r="UWB476" s="54"/>
      <c r="UWC476" s="54"/>
      <c r="UWD476" s="54"/>
      <c r="UWE476" s="54"/>
      <c r="UWF476" s="54"/>
      <c r="UWG476" s="54"/>
      <c r="UWH476" s="54"/>
      <c r="UWI476" s="54"/>
      <c r="UWJ476" s="54"/>
      <c r="UWK476" s="54"/>
      <c r="UWL476" s="54"/>
      <c r="UWM476" s="54"/>
      <c r="UWN476" s="54"/>
      <c r="UWO476" s="54"/>
      <c r="UWP476" s="54"/>
      <c r="UWQ476" s="54"/>
      <c r="UWR476" s="54"/>
      <c r="UWS476" s="54"/>
      <c r="UWT476" s="54"/>
      <c r="UWU476" s="54"/>
      <c r="UWV476" s="54"/>
      <c r="UWW476" s="54"/>
      <c r="UWX476" s="54"/>
      <c r="UWY476" s="54"/>
      <c r="UWZ476" s="54"/>
      <c r="UXA476" s="54"/>
      <c r="UXB476" s="54"/>
      <c r="UXC476" s="54"/>
      <c r="UXD476" s="54"/>
      <c r="UXE476" s="54"/>
      <c r="UXF476" s="54"/>
      <c r="UXG476" s="54"/>
      <c r="UXH476" s="54"/>
      <c r="UXI476" s="54"/>
      <c r="UXJ476" s="54"/>
      <c r="UXK476" s="54"/>
      <c r="UXL476" s="54"/>
      <c r="UXM476" s="54"/>
      <c r="UXN476" s="54"/>
      <c r="UXO476" s="54"/>
      <c r="UXP476" s="54"/>
      <c r="UXQ476" s="54"/>
      <c r="UXR476" s="54"/>
      <c r="UXS476" s="54"/>
      <c r="UXT476" s="54"/>
      <c r="UXU476" s="54"/>
      <c r="UXV476" s="54"/>
      <c r="UXW476" s="54"/>
      <c r="UXX476" s="54"/>
      <c r="UXY476" s="54"/>
      <c r="UXZ476" s="54"/>
      <c r="UYA476" s="54"/>
      <c r="UYB476" s="54"/>
      <c r="UYC476" s="54"/>
      <c r="UYD476" s="54"/>
      <c r="UYE476" s="54"/>
      <c r="UYF476" s="54"/>
      <c r="UYG476" s="54"/>
      <c r="UYH476" s="54"/>
      <c r="UYI476" s="54"/>
      <c r="UYJ476" s="54"/>
      <c r="UYK476" s="54"/>
      <c r="UYL476" s="54"/>
      <c r="UYM476" s="54"/>
      <c r="UYN476" s="54"/>
      <c r="UYO476" s="54"/>
      <c r="UYP476" s="54"/>
      <c r="UYQ476" s="54"/>
      <c r="UYR476" s="54"/>
      <c r="UYS476" s="54"/>
      <c r="UYT476" s="54"/>
      <c r="UYU476" s="54"/>
      <c r="UYV476" s="54"/>
      <c r="UYW476" s="54"/>
      <c r="UYX476" s="54"/>
      <c r="UYY476" s="54"/>
      <c r="UYZ476" s="54"/>
      <c r="UZA476" s="54"/>
      <c r="UZB476" s="54"/>
      <c r="UZC476" s="54"/>
      <c r="UZD476" s="54"/>
      <c r="UZE476" s="54"/>
      <c r="UZF476" s="54"/>
      <c r="UZG476" s="54"/>
      <c r="UZH476" s="54"/>
      <c r="UZI476" s="54"/>
      <c r="UZJ476" s="54"/>
      <c r="UZK476" s="54"/>
      <c r="UZL476" s="54"/>
      <c r="UZM476" s="54"/>
      <c r="UZN476" s="54"/>
      <c r="UZO476" s="54"/>
      <c r="UZP476" s="54"/>
      <c r="UZQ476" s="54"/>
      <c r="UZR476" s="54"/>
      <c r="UZS476" s="54"/>
      <c r="UZT476" s="54"/>
      <c r="UZU476" s="54"/>
      <c r="UZV476" s="54"/>
      <c r="UZW476" s="54"/>
      <c r="UZX476" s="54"/>
      <c r="UZY476" s="54"/>
      <c r="UZZ476" s="54"/>
      <c r="VAA476" s="54"/>
      <c r="VAB476" s="54"/>
      <c r="VAC476" s="54"/>
      <c r="VAD476" s="54"/>
      <c r="VAE476" s="54"/>
      <c r="VAF476" s="54"/>
      <c r="VAG476" s="54"/>
      <c r="VAH476" s="54"/>
      <c r="VAI476" s="54"/>
      <c r="VAJ476" s="54"/>
      <c r="VAK476" s="54"/>
      <c r="VAL476" s="54"/>
      <c r="VAM476" s="54"/>
      <c r="VAN476" s="54"/>
      <c r="VAO476" s="54"/>
      <c r="VAP476" s="54"/>
      <c r="VAQ476" s="54"/>
      <c r="VAR476" s="54"/>
      <c r="VAS476" s="54"/>
      <c r="VAT476" s="54"/>
      <c r="VAU476" s="54"/>
      <c r="VAV476" s="54"/>
      <c r="VAW476" s="54"/>
      <c r="VAX476" s="54"/>
      <c r="VAY476" s="54"/>
      <c r="VAZ476" s="54"/>
      <c r="VBA476" s="54"/>
      <c r="VBB476" s="54"/>
      <c r="VBC476" s="54"/>
      <c r="VBD476" s="54"/>
      <c r="VBE476" s="54"/>
      <c r="VBF476" s="54"/>
      <c r="VBG476" s="54"/>
      <c r="VBH476" s="54"/>
      <c r="VBI476" s="54"/>
      <c r="VBJ476" s="54"/>
      <c r="VBK476" s="54"/>
      <c r="VBL476" s="54"/>
      <c r="VBM476" s="54"/>
      <c r="VBN476" s="54"/>
      <c r="VBO476" s="54"/>
      <c r="VBP476" s="54"/>
      <c r="VBQ476" s="54"/>
      <c r="VBR476" s="54"/>
      <c r="VBS476" s="54"/>
      <c r="VBT476" s="54"/>
      <c r="VBU476" s="54"/>
      <c r="VBV476" s="54"/>
      <c r="VBW476" s="54"/>
      <c r="VBX476" s="54"/>
      <c r="VBY476" s="54"/>
      <c r="VBZ476" s="54"/>
      <c r="VCA476" s="54"/>
      <c r="VCB476" s="54"/>
      <c r="VCC476" s="54"/>
      <c r="VCD476" s="54"/>
      <c r="VCE476" s="54"/>
      <c r="VCF476" s="54"/>
      <c r="VCG476" s="54"/>
      <c r="VCH476" s="54"/>
      <c r="VCI476" s="54"/>
      <c r="VCJ476" s="54"/>
      <c r="VCK476" s="54"/>
      <c r="VCL476" s="54"/>
      <c r="VCM476" s="54"/>
      <c r="VCN476" s="54"/>
      <c r="VCO476" s="54"/>
      <c r="VCP476" s="54"/>
      <c r="VCQ476" s="54"/>
      <c r="VCR476" s="54"/>
      <c r="VCS476" s="54"/>
      <c r="VCT476" s="54"/>
      <c r="VCU476" s="54"/>
      <c r="VCV476" s="54"/>
      <c r="VCW476" s="54"/>
      <c r="VCX476" s="54"/>
      <c r="VCY476" s="54"/>
      <c r="VCZ476" s="54"/>
      <c r="VDA476" s="54"/>
      <c r="VDB476" s="54"/>
      <c r="VDC476" s="54"/>
      <c r="VDD476" s="54"/>
      <c r="VDE476" s="54"/>
      <c r="VDF476" s="54"/>
      <c r="VDG476" s="54"/>
      <c r="VDH476" s="54"/>
      <c r="VDI476" s="54"/>
      <c r="VDJ476" s="54"/>
      <c r="VDK476" s="54"/>
      <c r="VDL476" s="54"/>
      <c r="VDM476" s="54"/>
      <c r="VDN476" s="54"/>
      <c r="VDO476" s="54"/>
      <c r="VDP476" s="54"/>
      <c r="VDQ476" s="54"/>
      <c r="VDR476" s="54"/>
      <c r="VDS476" s="54"/>
      <c r="VDT476" s="54"/>
      <c r="VDU476" s="54"/>
      <c r="VDV476" s="54"/>
      <c r="VDW476" s="54"/>
      <c r="VDX476" s="54"/>
      <c r="VDY476" s="54"/>
      <c r="VDZ476" s="54"/>
      <c r="VEA476" s="54"/>
      <c r="VEB476" s="54"/>
      <c r="VEC476" s="54"/>
      <c r="VED476" s="54"/>
      <c r="VEE476" s="54"/>
      <c r="VEF476" s="54"/>
      <c r="VEG476" s="54"/>
      <c r="VEH476" s="54"/>
      <c r="VEI476" s="54"/>
      <c r="VEJ476" s="54"/>
      <c r="VEK476" s="54"/>
      <c r="VEL476" s="54"/>
      <c r="VEM476" s="54"/>
      <c r="VEN476" s="54"/>
      <c r="VEO476" s="54"/>
      <c r="VEP476" s="54"/>
      <c r="VEQ476" s="54"/>
      <c r="VER476" s="54"/>
      <c r="VES476" s="54"/>
      <c r="VET476" s="54"/>
      <c r="VEU476" s="54"/>
      <c r="VEV476" s="54"/>
      <c r="VEW476" s="54"/>
      <c r="VEX476" s="54"/>
      <c r="VEY476" s="54"/>
      <c r="VEZ476" s="54"/>
      <c r="VFA476" s="54"/>
      <c r="VFB476" s="54"/>
      <c r="VFC476" s="54"/>
      <c r="VFD476" s="54"/>
      <c r="VFE476" s="54"/>
      <c r="VFF476" s="54"/>
      <c r="VFG476" s="54"/>
      <c r="VFH476" s="54"/>
      <c r="VFI476" s="54"/>
      <c r="VFJ476" s="54"/>
      <c r="VFK476" s="54"/>
      <c r="VFL476" s="54"/>
      <c r="VFM476" s="54"/>
      <c r="VFN476" s="54"/>
      <c r="VFO476" s="54"/>
      <c r="VFP476" s="54"/>
      <c r="VFQ476" s="54"/>
      <c r="VFR476" s="54"/>
      <c r="VFS476" s="54"/>
      <c r="VFT476" s="54"/>
      <c r="VFU476" s="54"/>
      <c r="VFV476" s="54"/>
      <c r="VFW476" s="54"/>
      <c r="VFX476" s="54"/>
      <c r="VFY476" s="54"/>
      <c r="VFZ476" s="54"/>
      <c r="VGA476" s="54"/>
      <c r="VGB476" s="54"/>
      <c r="VGC476" s="54"/>
      <c r="VGD476" s="54"/>
      <c r="VGE476" s="54"/>
      <c r="VGF476" s="54"/>
      <c r="VGG476" s="54"/>
      <c r="VGH476" s="54"/>
      <c r="VGI476" s="54"/>
      <c r="VGJ476" s="54"/>
      <c r="VGK476" s="54"/>
      <c r="VGL476" s="54"/>
      <c r="VGM476" s="54"/>
      <c r="VGN476" s="54"/>
      <c r="VGO476" s="54"/>
      <c r="VGP476" s="54"/>
      <c r="VGQ476" s="54"/>
      <c r="VGR476" s="54"/>
      <c r="VGS476" s="54"/>
      <c r="VGT476" s="54"/>
      <c r="VGU476" s="54"/>
      <c r="VGV476" s="54"/>
      <c r="VGW476" s="54"/>
      <c r="VGX476" s="54"/>
      <c r="VGY476" s="54"/>
      <c r="VGZ476" s="54"/>
      <c r="VHA476" s="54"/>
      <c r="VHB476" s="54"/>
      <c r="VHC476" s="54"/>
      <c r="VHD476" s="54"/>
      <c r="VHE476" s="54"/>
      <c r="VHF476" s="54"/>
      <c r="VHG476" s="54"/>
      <c r="VHH476" s="54"/>
      <c r="VHI476" s="54"/>
      <c r="VHJ476" s="54"/>
      <c r="VHK476" s="54"/>
      <c r="VHL476" s="54"/>
      <c r="VHM476" s="54"/>
      <c r="VHN476" s="54"/>
      <c r="VHO476" s="54"/>
      <c r="VHP476" s="54"/>
      <c r="VHQ476" s="54"/>
      <c r="VHR476" s="54"/>
      <c r="VHS476" s="54"/>
      <c r="VHT476" s="54"/>
      <c r="VHU476" s="54"/>
      <c r="VHV476" s="54"/>
      <c r="VHW476" s="54"/>
      <c r="VHX476" s="54"/>
      <c r="VHY476" s="54"/>
      <c r="VHZ476" s="54"/>
      <c r="VIA476" s="54"/>
      <c r="VIB476" s="54"/>
      <c r="VIC476" s="54"/>
      <c r="VID476" s="54"/>
      <c r="VIE476" s="54"/>
      <c r="VIF476" s="54"/>
      <c r="VIG476" s="54"/>
      <c r="VIH476" s="54"/>
      <c r="VII476" s="54"/>
      <c r="VIJ476" s="54"/>
      <c r="VIK476" s="54"/>
      <c r="VIL476" s="54"/>
      <c r="VIM476" s="54"/>
      <c r="VIN476" s="54"/>
      <c r="VIO476" s="54"/>
      <c r="VIP476" s="54"/>
      <c r="VIQ476" s="54"/>
      <c r="VIR476" s="54"/>
      <c r="VIS476" s="54"/>
      <c r="VIT476" s="54"/>
      <c r="VIU476" s="54"/>
      <c r="VIV476" s="54"/>
      <c r="VIW476" s="54"/>
      <c r="VIX476" s="54"/>
      <c r="VIY476" s="54"/>
      <c r="VIZ476" s="54"/>
      <c r="VJA476" s="54"/>
      <c r="VJB476" s="54"/>
      <c r="VJC476" s="54"/>
      <c r="VJD476" s="54"/>
      <c r="VJE476" s="54"/>
      <c r="VJF476" s="54"/>
      <c r="VJG476" s="54"/>
      <c r="VJH476" s="54"/>
      <c r="VJI476" s="54"/>
      <c r="VJJ476" s="54"/>
      <c r="VJK476" s="54"/>
      <c r="VJL476" s="54"/>
      <c r="VJM476" s="54"/>
      <c r="VJN476" s="54"/>
      <c r="VJO476" s="54"/>
      <c r="VJP476" s="54"/>
      <c r="VJQ476" s="54"/>
      <c r="VJR476" s="54"/>
      <c r="VJS476" s="54"/>
      <c r="VJT476" s="54"/>
      <c r="VJU476" s="54"/>
      <c r="VJV476" s="54"/>
      <c r="VJW476" s="54"/>
      <c r="VJX476" s="54"/>
      <c r="VJY476" s="54"/>
      <c r="VJZ476" s="54"/>
      <c r="VKA476" s="54"/>
      <c r="VKB476" s="54"/>
      <c r="VKC476" s="54"/>
      <c r="VKD476" s="54"/>
      <c r="VKE476" s="54"/>
      <c r="VKF476" s="54"/>
      <c r="VKG476" s="54"/>
      <c r="VKH476" s="54"/>
      <c r="VKI476" s="54"/>
      <c r="VKJ476" s="54"/>
      <c r="VKK476" s="54"/>
      <c r="VKL476" s="54"/>
      <c r="VKM476" s="54"/>
      <c r="VKN476" s="54"/>
      <c r="VKO476" s="54"/>
      <c r="VKP476" s="54"/>
      <c r="VKQ476" s="54"/>
      <c r="VKR476" s="54"/>
      <c r="VKS476" s="54"/>
      <c r="VKT476" s="54"/>
      <c r="VKU476" s="54"/>
      <c r="VKV476" s="54"/>
      <c r="VKW476" s="54"/>
      <c r="VKX476" s="54"/>
      <c r="VKY476" s="54"/>
      <c r="VKZ476" s="54"/>
      <c r="VLA476" s="54"/>
      <c r="VLB476" s="54"/>
      <c r="VLC476" s="54"/>
      <c r="VLD476" s="54"/>
      <c r="VLE476" s="54"/>
      <c r="VLF476" s="54"/>
      <c r="VLG476" s="54"/>
      <c r="VLH476" s="54"/>
      <c r="VLI476" s="54"/>
      <c r="VLJ476" s="54"/>
      <c r="VLK476" s="54"/>
      <c r="VLL476" s="54"/>
      <c r="VLM476" s="54"/>
      <c r="VLN476" s="54"/>
      <c r="VLO476" s="54"/>
      <c r="VLP476" s="54"/>
      <c r="VLQ476" s="54"/>
      <c r="VLR476" s="54"/>
      <c r="VLS476" s="54"/>
      <c r="VLT476" s="54"/>
      <c r="VLU476" s="54"/>
      <c r="VLV476" s="54"/>
      <c r="VLW476" s="54"/>
      <c r="VLX476" s="54"/>
      <c r="VLY476" s="54"/>
      <c r="VLZ476" s="54"/>
      <c r="VMA476" s="54"/>
      <c r="VMB476" s="54"/>
      <c r="VMC476" s="54"/>
      <c r="VMD476" s="54"/>
      <c r="VME476" s="54"/>
      <c r="VMF476" s="54"/>
      <c r="VMG476" s="54"/>
      <c r="VMH476" s="54"/>
      <c r="VMI476" s="54"/>
      <c r="VMJ476" s="54"/>
      <c r="VMK476" s="54"/>
      <c r="VML476" s="54"/>
      <c r="VMM476" s="54"/>
      <c r="VMN476" s="54"/>
      <c r="VMO476" s="54"/>
      <c r="VMP476" s="54"/>
      <c r="VMQ476" s="54"/>
      <c r="VMR476" s="54"/>
      <c r="VMS476" s="54"/>
      <c r="VMT476" s="54"/>
      <c r="VMU476" s="54"/>
      <c r="VMV476" s="54"/>
      <c r="VMW476" s="54"/>
      <c r="VMX476" s="54"/>
      <c r="VMY476" s="54"/>
      <c r="VMZ476" s="54"/>
      <c r="VNA476" s="54"/>
      <c r="VNB476" s="54"/>
      <c r="VNC476" s="54"/>
      <c r="VND476" s="54"/>
      <c r="VNE476" s="54"/>
      <c r="VNF476" s="54"/>
      <c r="VNG476" s="54"/>
      <c r="VNH476" s="54"/>
      <c r="VNI476" s="54"/>
      <c r="VNJ476" s="54"/>
      <c r="VNK476" s="54"/>
      <c r="VNL476" s="54"/>
      <c r="VNM476" s="54"/>
      <c r="VNN476" s="54"/>
      <c r="VNO476" s="54"/>
      <c r="VNP476" s="54"/>
      <c r="VNQ476" s="54"/>
      <c r="VNR476" s="54"/>
      <c r="VNS476" s="54"/>
      <c r="VNT476" s="54"/>
      <c r="VNU476" s="54"/>
      <c r="VNV476" s="54"/>
      <c r="VNW476" s="54"/>
      <c r="VNX476" s="54"/>
      <c r="VNY476" s="54"/>
      <c r="VNZ476" s="54"/>
      <c r="VOA476" s="54"/>
      <c r="VOB476" s="54"/>
      <c r="VOC476" s="54"/>
      <c r="VOD476" s="54"/>
      <c r="VOE476" s="54"/>
      <c r="VOF476" s="54"/>
      <c r="VOG476" s="54"/>
      <c r="VOH476" s="54"/>
      <c r="VOI476" s="54"/>
      <c r="VOJ476" s="54"/>
      <c r="VOK476" s="54"/>
      <c r="VOL476" s="54"/>
      <c r="VOM476" s="54"/>
      <c r="VON476" s="54"/>
      <c r="VOO476" s="54"/>
      <c r="VOP476" s="54"/>
      <c r="VOQ476" s="54"/>
      <c r="VOR476" s="54"/>
      <c r="VOS476" s="54"/>
      <c r="VOT476" s="54"/>
      <c r="VOU476" s="54"/>
      <c r="VOV476" s="54"/>
      <c r="VOW476" s="54"/>
      <c r="VOX476" s="54"/>
      <c r="VOY476" s="54"/>
      <c r="VOZ476" s="54"/>
      <c r="VPA476" s="54"/>
      <c r="VPB476" s="54"/>
      <c r="VPC476" s="54"/>
      <c r="VPD476" s="54"/>
      <c r="VPE476" s="54"/>
      <c r="VPF476" s="54"/>
      <c r="VPG476" s="54"/>
      <c r="VPH476" s="54"/>
      <c r="VPI476" s="54"/>
      <c r="VPJ476" s="54"/>
      <c r="VPK476" s="54"/>
      <c r="VPL476" s="54"/>
      <c r="VPM476" s="54"/>
      <c r="VPN476" s="54"/>
      <c r="VPO476" s="54"/>
      <c r="VPP476" s="54"/>
      <c r="VPQ476" s="54"/>
      <c r="VPR476" s="54"/>
      <c r="VPS476" s="54"/>
      <c r="VPT476" s="54"/>
      <c r="VPU476" s="54"/>
      <c r="VPV476" s="54"/>
      <c r="VPW476" s="54"/>
      <c r="VPX476" s="54"/>
      <c r="VPY476" s="54"/>
      <c r="VPZ476" s="54"/>
      <c r="VQA476" s="54"/>
      <c r="VQB476" s="54"/>
      <c r="VQC476" s="54"/>
      <c r="VQD476" s="54"/>
      <c r="VQE476" s="54"/>
      <c r="VQF476" s="54"/>
      <c r="VQG476" s="54"/>
      <c r="VQH476" s="54"/>
      <c r="VQI476" s="54"/>
      <c r="VQJ476" s="54"/>
      <c r="VQK476" s="54"/>
      <c r="VQL476" s="54"/>
      <c r="VQM476" s="54"/>
      <c r="VQN476" s="54"/>
      <c r="VQO476" s="54"/>
      <c r="VQP476" s="54"/>
      <c r="VQQ476" s="54"/>
      <c r="VQR476" s="54"/>
      <c r="VQS476" s="54"/>
      <c r="VQT476" s="54"/>
      <c r="VQU476" s="54"/>
      <c r="VQV476" s="54"/>
      <c r="VQW476" s="54"/>
      <c r="VQX476" s="54"/>
      <c r="VQY476" s="54"/>
      <c r="VQZ476" s="54"/>
      <c r="VRA476" s="54"/>
      <c r="VRB476" s="54"/>
      <c r="VRC476" s="54"/>
      <c r="VRD476" s="54"/>
      <c r="VRE476" s="54"/>
      <c r="VRF476" s="54"/>
      <c r="VRG476" s="54"/>
      <c r="VRH476" s="54"/>
      <c r="VRI476" s="54"/>
      <c r="VRJ476" s="54"/>
      <c r="VRK476" s="54"/>
      <c r="VRL476" s="54"/>
      <c r="VRM476" s="54"/>
      <c r="VRN476" s="54"/>
      <c r="VRO476" s="54"/>
      <c r="VRP476" s="54"/>
      <c r="VRQ476" s="54"/>
      <c r="VRR476" s="54"/>
      <c r="VRS476" s="54"/>
      <c r="VRT476" s="54"/>
      <c r="VRU476" s="54"/>
      <c r="VRV476" s="54"/>
      <c r="VRW476" s="54"/>
      <c r="VRX476" s="54"/>
      <c r="VRY476" s="54"/>
      <c r="VRZ476" s="54"/>
      <c r="VSA476" s="54"/>
      <c r="VSB476" s="54"/>
      <c r="VSC476" s="54"/>
      <c r="VSD476" s="54"/>
      <c r="VSE476" s="54"/>
      <c r="VSF476" s="54"/>
      <c r="VSG476" s="54"/>
      <c r="VSH476" s="54"/>
      <c r="VSI476" s="54"/>
      <c r="VSJ476" s="54"/>
      <c r="VSK476" s="54"/>
      <c r="VSL476" s="54"/>
      <c r="VSM476" s="54"/>
      <c r="VSN476" s="54"/>
      <c r="VSO476" s="54"/>
      <c r="VSP476" s="54"/>
      <c r="VSQ476" s="54"/>
      <c r="VSR476" s="54"/>
      <c r="VSS476" s="54"/>
      <c r="VST476" s="54"/>
      <c r="VSU476" s="54"/>
      <c r="VSV476" s="54"/>
      <c r="VSW476" s="54"/>
      <c r="VSX476" s="54"/>
      <c r="VSY476" s="54"/>
      <c r="VSZ476" s="54"/>
      <c r="VTA476" s="54"/>
      <c r="VTB476" s="54"/>
      <c r="VTC476" s="54"/>
      <c r="VTD476" s="54"/>
      <c r="VTE476" s="54"/>
      <c r="VTF476" s="54"/>
      <c r="VTG476" s="54"/>
      <c r="VTH476" s="54"/>
      <c r="VTI476" s="54"/>
      <c r="VTJ476" s="54"/>
      <c r="VTK476" s="54"/>
      <c r="VTL476" s="54"/>
      <c r="VTM476" s="54"/>
      <c r="VTN476" s="54"/>
      <c r="VTO476" s="54"/>
      <c r="VTP476" s="54"/>
      <c r="VTQ476" s="54"/>
      <c r="VTR476" s="54"/>
      <c r="VTS476" s="54"/>
      <c r="VTT476" s="54"/>
      <c r="VTU476" s="54"/>
      <c r="VTV476" s="54"/>
      <c r="VTW476" s="54"/>
      <c r="VTX476" s="54"/>
      <c r="VTY476" s="54"/>
      <c r="VTZ476" s="54"/>
      <c r="VUA476" s="54"/>
      <c r="VUB476" s="54"/>
      <c r="VUC476" s="54"/>
      <c r="VUD476" s="54"/>
      <c r="VUE476" s="54"/>
      <c r="VUF476" s="54"/>
      <c r="VUG476" s="54"/>
      <c r="VUH476" s="54"/>
      <c r="VUI476" s="54"/>
      <c r="VUJ476" s="54"/>
      <c r="VUK476" s="54"/>
      <c r="VUL476" s="54"/>
      <c r="VUM476" s="54"/>
      <c r="VUN476" s="54"/>
      <c r="VUO476" s="54"/>
      <c r="VUP476" s="54"/>
      <c r="VUQ476" s="54"/>
      <c r="VUR476" s="54"/>
      <c r="VUS476" s="54"/>
      <c r="VUT476" s="54"/>
      <c r="VUU476" s="54"/>
      <c r="VUV476" s="54"/>
      <c r="VUW476" s="54"/>
      <c r="VUX476" s="54"/>
      <c r="VUY476" s="54"/>
      <c r="VUZ476" s="54"/>
      <c r="VVA476" s="54"/>
      <c r="VVB476" s="54"/>
      <c r="VVC476" s="54"/>
      <c r="VVD476" s="54"/>
      <c r="VVE476" s="54"/>
      <c r="VVF476" s="54"/>
      <c r="VVG476" s="54"/>
      <c r="VVH476" s="54"/>
      <c r="VVI476" s="54"/>
      <c r="VVJ476" s="54"/>
      <c r="VVK476" s="54"/>
      <c r="VVL476" s="54"/>
      <c r="VVM476" s="54"/>
      <c r="VVN476" s="54"/>
      <c r="VVO476" s="54"/>
      <c r="VVP476" s="54"/>
      <c r="VVQ476" s="54"/>
      <c r="VVR476" s="54"/>
      <c r="VVS476" s="54"/>
      <c r="VVT476" s="54"/>
      <c r="VVU476" s="54"/>
      <c r="VVV476" s="54"/>
      <c r="VVW476" s="54"/>
      <c r="VVX476" s="54"/>
      <c r="VVY476" s="54"/>
      <c r="VVZ476" s="54"/>
      <c r="VWA476" s="54"/>
      <c r="VWB476" s="54"/>
      <c r="VWC476" s="54"/>
      <c r="VWD476" s="54"/>
      <c r="VWE476" s="54"/>
      <c r="VWF476" s="54"/>
      <c r="VWG476" s="54"/>
      <c r="VWH476" s="54"/>
      <c r="VWI476" s="54"/>
      <c r="VWJ476" s="54"/>
      <c r="VWK476" s="54"/>
      <c r="VWL476" s="54"/>
      <c r="VWM476" s="54"/>
      <c r="VWN476" s="54"/>
      <c r="VWO476" s="54"/>
      <c r="VWP476" s="54"/>
      <c r="VWQ476" s="54"/>
      <c r="VWR476" s="54"/>
      <c r="VWS476" s="54"/>
      <c r="VWT476" s="54"/>
      <c r="VWU476" s="54"/>
      <c r="VWV476" s="54"/>
      <c r="VWW476" s="54"/>
      <c r="VWX476" s="54"/>
      <c r="VWY476" s="54"/>
      <c r="VWZ476" s="54"/>
      <c r="VXA476" s="54"/>
      <c r="VXB476" s="54"/>
      <c r="VXC476" s="54"/>
      <c r="VXD476" s="54"/>
      <c r="VXE476" s="54"/>
      <c r="VXF476" s="54"/>
      <c r="VXG476" s="54"/>
      <c r="VXH476" s="54"/>
      <c r="VXI476" s="54"/>
      <c r="VXJ476" s="54"/>
      <c r="VXK476" s="54"/>
      <c r="VXL476" s="54"/>
      <c r="VXM476" s="54"/>
      <c r="VXN476" s="54"/>
      <c r="VXO476" s="54"/>
      <c r="VXP476" s="54"/>
      <c r="VXQ476" s="54"/>
      <c r="VXR476" s="54"/>
      <c r="VXS476" s="54"/>
      <c r="VXT476" s="54"/>
      <c r="VXU476" s="54"/>
      <c r="VXV476" s="54"/>
      <c r="VXW476" s="54"/>
      <c r="VXX476" s="54"/>
      <c r="VXY476" s="54"/>
      <c r="VXZ476" s="54"/>
      <c r="VYA476" s="54"/>
      <c r="VYB476" s="54"/>
      <c r="VYC476" s="54"/>
      <c r="VYD476" s="54"/>
      <c r="VYE476" s="54"/>
      <c r="VYF476" s="54"/>
      <c r="VYG476" s="54"/>
      <c r="VYH476" s="54"/>
      <c r="VYI476" s="54"/>
      <c r="VYJ476" s="54"/>
      <c r="VYK476" s="54"/>
      <c r="VYL476" s="54"/>
      <c r="VYM476" s="54"/>
      <c r="VYN476" s="54"/>
      <c r="VYO476" s="54"/>
      <c r="VYP476" s="54"/>
      <c r="VYQ476" s="54"/>
      <c r="VYR476" s="54"/>
      <c r="VYS476" s="54"/>
      <c r="VYT476" s="54"/>
      <c r="VYU476" s="54"/>
      <c r="VYV476" s="54"/>
      <c r="VYW476" s="54"/>
      <c r="VYX476" s="54"/>
      <c r="VYY476" s="54"/>
      <c r="VYZ476" s="54"/>
      <c r="VZA476" s="54"/>
      <c r="VZB476" s="54"/>
      <c r="VZC476" s="54"/>
      <c r="VZD476" s="54"/>
      <c r="VZE476" s="54"/>
      <c r="VZF476" s="54"/>
      <c r="VZG476" s="54"/>
      <c r="VZH476" s="54"/>
      <c r="VZI476" s="54"/>
      <c r="VZJ476" s="54"/>
      <c r="VZK476" s="54"/>
      <c r="VZL476" s="54"/>
      <c r="VZM476" s="54"/>
      <c r="VZN476" s="54"/>
      <c r="VZO476" s="54"/>
      <c r="VZP476" s="54"/>
      <c r="VZQ476" s="54"/>
      <c r="VZR476" s="54"/>
      <c r="VZS476" s="54"/>
      <c r="VZT476" s="54"/>
      <c r="VZU476" s="54"/>
      <c r="VZV476" s="54"/>
      <c r="VZW476" s="54"/>
      <c r="VZX476" s="54"/>
      <c r="VZY476" s="54"/>
      <c r="VZZ476" s="54"/>
      <c r="WAA476" s="54"/>
      <c r="WAB476" s="54"/>
      <c r="WAC476" s="54"/>
      <c r="WAD476" s="54"/>
      <c r="WAE476" s="54"/>
      <c r="WAF476" s="54"/>
      <c r="WAG476" s="54"/>
      <c r="WAH476" s="54"/>
      <c r="WAI476" s="54"/>
      <c r="WAJ476" s="54"/>
      <c r="WAK476" s="54"/>
      <c r="WAL476" s="54"/>
      <c r="WAM476" s="54"/>
      <c r="WAN476" s="54"/>
      <c r="WAO476" s="54"/>
      <c r="WAP476" s="54"/>
      <c r="WAQ476" s="54"/>
      <c r="WAR476" s="54"/>
      <c r="WAS476" s="54"/>
      <c r="WAT476" s="54"/>
      <c r="WAU476" s="54"/>
      <c r="WAV476" s="54"/>
      <c r="WAW476" s="54"/>
      <c r="WAX476" s="54"/>
      <c r="WAY476" s="54"/>
      <c r="WAZ476" s="54"/>
      <c r="WBA476" s="54"/>
      <c r="WBB476" s="54"/>
      <c r="WBC476" s="54"/>
      <c r="WBD476" s="54"/>
      <c r="WBE476" s="54"/>
      <c r="WBF476" s="54"/>
      <c r="WBG476" s="54"/>
      <c r="WBH476" s="54"/>
      <c r="WBI476" s="54"/>
      <c r="WBJ476" s="54"/>
      <c r="WBK476" s="54"/>
      <c r="WBL476" s="54"/>
      <c r="WBM476" s="54"/>
      <c r="WBN476" s="54"/>
      <c r="WBO476" s="54"/>
      <c r="WBP476" s="54"/>
      <c r="WBQ476" s="54"/>
      <c r="WBR476" s="54"/>
      <c r="WBS476" s="54"/>
      <c r="WBT476" s="54"/>
      <c r="WBU476" s="54"/>
      <c r="WBV476" s="54"/>
      <c r="WBW476" s="54"/>
      <c r="WBX476" s="54"/>
      <c r="WBY476" s="54"/>
      <c r="WBZ476" s="54"/>
      <c r="WCA476" s="54"/>
      <c r="WCB476" s="54"/>
      <c r="WCC476" s="54"/>
      <c r="WCD476" s="54"/>
      <c r="WCE476" s="54"/>
      <c r="WCF476" s="54"/>
      <c r="WCG476" s="54"/>
      <c r="WCH476" s="54"/>
      <c r="WCI476" s="54"/>
      <c r="WCJ476" s="54"/>
      <c r="WCK476" s="54"/>
      <c r="WCL476" s="54"/>
      <c r="WCM476" s="54"/>
      <c r="WCN476" s="54"/>
      <c r="WCO476" s="54"/>
      <c r="WCP476" s="54"/>
      <c r="WCQ476" s="54"/>
      <c r="WCR476" s="54"/>
      <c r="WCS476" s="54"/>
      <c r="WCT476" s="54"/>
      <c r="WCU476" s="54"/>
      <c r="WCV476" s="54"/>
      <c r="WCW476" s="54"/>
      <c r="WCX476" s="54"/>
      <c r="WCY476" s="54"/>
      <c r="WCZ476" s="54"/>
      <c r="WDA476" s="54"/>
      <c r="WDB476" s="54"/>
      <c r="WDC476" s="54"/>
      <c r="WDD476" s="54"/>
      <c r="WDE476" s="54"/>
      <c r="WDF476" s="54"/>
      <c r="WDG476" s="54"/>
      <c r="WDH476" s="54"/>
      <c r="WDI476" s="54"/>
      <c r="WDJ476" s="54"/>
      <c r="WDK476" s="54"/>
      <c r="WDL476" s="54"/>
      <c r="WDM476" s="54"/>
      <c r="WDN476" s="54"/>
      <c r="WDO476" s="54"/>
      <c r="WDP476" s="54"/>
      <c r="WDQ476" s="54"/>
      <c r="WDR476" s="54"/>
      <c r="WDS476" s="54"/>
      <c r="WDT476" s="54"/>
      <c r="WDU476" s="54"/>
      <c r="WDV476" s="54"/>
      <c r="WDW476" s="54"/>
      <c r="WDX476" s="54"/>
      <c r="WDY476" s="54"/>
      <c r="WDZ476" s="54"/>
      <c r="WEA476" s="54"/>
      <c r="WEB476" s="54"/>
      <c r="WEC476" s="54"/>
      <c r="WED476" s="54"/>
      <c r="WEE476" s="54"/>
      <c r="WEF476" s="54"/>
      <c r="WEG476" s="54"/>
      <c r="WEH476" s="54"/>
      <c r="WEI476" s="54"/>
      <c r="WEJ476" s="54"/>
      <c r="WEK476" s="54"/>
      <c r="WEL476" s="54"/>
      <c r="WEM476" s="54"/>
      <c r="WEN476" s="54"/>
      <c r="WEO476" s="54"/>
      <c r="WEP476" s="54"/>
      <c r="WEQ476" s="54"/>
      <c r="WER476" s="54"/>
      <c r="WES476" s="54"/>
      <c r="WET476" s="54"/>
      <c r="WEU476" s="54"/>
      <c r="WEV476" s="54"/>
      <c r="WEW476" s="54"/>
      <c r="WEX476" s="54"/>
      <c r="WEY476" s="54"/>
      <c r="WEZ476" s="54"/>
      <c r="WFA476" s="54"/>
      <c r="WFB476" s="54"/>
      <c r="WFC476" s="54"/>
      <c r="WFD476" s="54"/>
      <c r="WFE476" s="54"/>
      <c r="WFF476" s="54"/>
      <c r="WFG476" s="54"/>
      <c r="WFH476" s="54"/>
      <c r="WFI476" s="54"/>
      <c r="WFJ476" s="54"/>
      <c r="WFK476" s="54"/>
      <c r="WFL476" s="54"/>
      <c r="WFM476" s="54"/>
      <c r="WFN476" s="54"/>
      <c r="WFO476" s="54"/>
      <c r="WFP476" s="54"/>
      <c r="WFQ476" s="54"/>
      <c r="WFR476" s="54"/>
      <c r="WFS476" s="54"/>
      <c r="WFT476" s="54"/>
      <c r="WFU476" s="54"/>
      <c r="WFV476" s="54"/>
      <c r="WFW476" s="54"/>
      <c r="WFX476" s="54"/>
      <c r="WFY476" s="54"/>
      <c r="WFZ476" s="54"/>
      <c r="WGA476" s="54"/>
      <c r="WGB476" s="54"/>
      <c r="WGC476" s="54"/>
      <c r="WGD476" s="54"/>
      <c r="WGE476" s="54"/>
      <c r="WGF476" s="54"/>
      <c r="WGG476" s="54"/>
      <c r="WGH476" s="54"/>
      <c r="WGI476" s="54"/>
      <c r="WGJ476" s="54"/>
      <c r="WGK476" s="54"/>
      <c r="WGL476" s="54"/>
      <c r="WGM476" s="54"/>
      <c r="WGN476" s="54"/>
      <c r="WGO476" s="54"/>
      <c r="WGP476" s="54"/>
      <c r="WGQ476" s="54"/>
      <c r="WGR476" s="54"/>
      <c r="WGS476" s="54"/>
      <c r="WGT476" s="54"/>
      <c r="WGU476" s="54"/>
      <c r="WGV476" s="54"/>
      <c r="WGW476" s="54"/>
      <c r="WGX476" s="54"/>
      <c r="WGY476" s="54"/>
      <c r="WGZ476" s="54"/>
      <c r="WHA476" s="54"/>
      <c r="WHB476" s="54"/>
      <c r="WHC476" s="54"/>
      <c r="WHD476" s="54"/>
      <c r="WHE476" s="54"/>
      <c r="WHF476" s="54"/>
      <c r="WHG476" s="54"/>
      <c r="WHH476" s="54"/>
      <c r="WHI476" s="54"/>
      <c r="WHJ476" s="54"/>
      <c r="WHK476" s="54"/>
      <c r="WHL476" s="54"/>
      <c r="WHM476" s="54"/>
      <c r="WHN476" s="54"/>
      <c r="WHO476" s="54"/>
      <c r="WHP476" s="54"/>
      <c r="WHQ476" s="54"/>
      <c r="WHR476" s="54"/>
      <c r="WHS476" s="54"/>
      <c r="WHT476" s="54"/>
      <c r="WHU476" s="54"/>
      <c r="WHV476" s="54"/>
      <c r="WHW476" s="54"/>
      <c r="WHX476" s="54"/>
      <c r="WHY476" s="54"/>
      <c r="WHZ476" s="54"/>
      <c r="WIA476" s="54"/>
      <c r="WIB476" s="54"/>
      <c r="WIC476" s="54"/>
      <c r="WID476" s="54"/>
      <c r="WIE476" s="54"/>
      <c r="WIF476" s="54"/>
      <c r="WIG476" s="54"/>
      <c r="WIH476" s="54"/>
      <c r="WII476" s="54"/>
      <c r="WIJ476" s="54"/>
      <c r="WIK476" s="54"/>
      <c r="WIL476" s="54"/>
      <c r="WIM476" s="54"/>
      <c r="WIN476" s="54"/>
      <c r="WIO476" s="54"/>
      <c r="WIP476" s="54"/>
      <c r="WIQ476" s="54"/>
      <c r="WIR476" s="54"/>
      <c r="WIS476" s="54"/>
      <c r="WIT476" s="54"/>
      <c r="WIU476" s="54"/>
      <c r="WIV476" s="54"/>
      <c r="WIW476" s="54"/>
      <c r="WIX476" s="54"/>
      <c r="WIY476" s="54"/>
      <c r="WIZ476" s="54"/>
      <c r="WJA476" s="54"/>
      <c r="WJB476" s="54"/>
      <c r="WJC476" s="54"/>
      <c r="WJD476" s="54"/>
      <c r="WJE476" s="54"/>
      <c r="WJF476" s="54"/>
      <c r="WJG476" s="54"/>
      <c r="WJH476" s="54"/>
      <c r="WJI476" s="54"/>
      <c r="WJJ476" s="54"/>
      <c r="WJK476" s="54"/>
      <c r="WJL476" s="54"/>
      <c r="WJM476" s="54"/>
      <c r="WJN476" s="54"/>
      <c r="WJO476" s="54"/>
      <c r="WJP476" s="54"/>
      <c r="WJQ476" s="54"/>
      <c r="WJR476" s="54"/>
      <c r="WJS476" s="54"/>
      <c r="WJT476" s="54"/>
      <c r="WJU476" s="54"/>
      <c r="WJV476" s="54"/>
      <c r="WJW476" s="54"/>
      <c r="WJX476" s="54"/>
      <c r="WJY476" s="54"/>
      <c r="WJZ476" s="54"/>
      <c r="WKA476" s="54"/>
      <c r="WKB476" s="54"/>
      <c r="WKC476" s="54"/>
      <c r="WKD476" s="54"/>
      <c r="WKE476" s="54"/>
      <c r="WKF476" s="54"/>
      <c r="WKG476" s="54"/>
      <c r="WKH476" s="54"/>
      <c r="WKI476" s="54"/>
      <c r="WKJ476" s="54"/>
      <c r="WKK476" s="54"/>
      <c r="WKL476" s="54"/>
      <c r="WKM476" s="54"/>
      <c r="WKN476" s="54"/>
      <c r="WKO476" s="54"/>
      <c r="WKP476" s="54"/>
      <c r="WKQ476" s="54"/>
      <c r="WKR476" s="54"/>
      <c r="WKS476" s="54"/>
      <c r="WKT476" s="54"/>
      <c r="WKU476" s="54"/>
      <c r="WKV476" s="54"/>
      <c r="WKW476" s="54"/>
      <c r="WKX476" s="54"/>
      <c r="WKY476" s="54"/>
      <c r="WKZ476" s="54"/>
      <c r="WLA476" s="54"/>
      <c r="WLB476" s="54"/>
      <c r="WLC476" s="54"/>
      <c r="WLD476" s="54"/>
      <c r="WLE476" s="54"/>
      <c r="WLF476" s="54"/>
      <c r="WLG476" s="54"/>
      <c r="WLH476" s="54"/>
      <c r="WLI476" s="54"/>
      <c r="WLJ476" s="54"/>
      <c r="WLK476" s="54"/>
      <c r="WLL476" s="54"/>
      <c r="WLM476" s="54"/>
      <c r="WLN476" s="54"/>
      <c r="WLO476" s="54"/>
      <c r="WLP476" s="54"/>
      <c r="WLQ476" s="54"/>
      <c r="WLR476" s="54"/>
      <c r="WLS476" s="54"/>
      <c r="WLT476" s="54"/>
      <c r="WLU476" s="54"/>
      <c r="WLV476" s="54"/>
      <c r="WLW476" s="54"/>
      <c r="WLX476" s="54"/>
      <c r="WLY476" s="54"/>
      <c r="WLZ476" s="54"/>
      <c r="WMA476" s="54"/>
      <c r="WMB476" s="54"/>
      <c r="WMC476" s="54"/>
      <c r="WMD476" s="54"/>
      <c r="WME476" s="54"/>
      <c r="WMF476" s="54"/>
      <c r="WMG476" s="54"/>
      <c r="WMH476" s="54"/>
      <c r="WMI476" s="54"/>
      <c r="WMJ476" s="54"/>
      <c r="WMK476" s="54"/>
      <c r="WML476" s="54"/>
      <c r="WMM476" s="54"/>
      <c r="WMN476" s="54"/>
      <c r="WMO476" s="54"/>
      <c r="WMP476" s="54"/>
      <c r="WMQ476" s="54"/>
      <c r="WMR476" s="54"/>
      <c r="WMS476" s="54"/>
      <c r="WMT476" s="54"/>
      <c r="WMU476" s="54"/>
      <c r="WMV476" s="54"/>
      <c r="WMW476" s="54"/>
      <c r="WMX476" s="54"/>
      <c r="WMY476" s="54"/>
      <c r="WMZ476" s="54"/>
      <c r="WNA476" s="54"/>
      <c r="WNB476" s="54"/>
      <c r="WNC476" s="54"/>
      <c r="WND476" s="54"/>
      <c r="WNE476" s="54"/>
      <c r="WNF476" s="54"/>
      <c r="WNG476" s="54"/>
      <c r="WNH476" s="54"/>
      <c r="WNI476" s="54"/>
      <c r="WNJ476" s="54"/>
      <c r="WNK476" s="54"/>
      <c r="WNL476" s="54"/>
      <c r="WNM476" s="54"/>
      <c r="WNN476" s="54"/>
      <c r="WNO476" s="54"/>
      <c r="WNP476" s="54"/>
      <c r="WNQ476" s="54"/>
      <c r="WNR476" s="54"/>
      <c r="WNS476" s="54"/>
      <c r="WNT476" s="54"/>
      <c r="WNU476" s="54"/>
      <c r="WNV476" s="54"/>
      <c r="WNW476" s="54"/>
      <c r="WNX476" s="54"/>
      <c r="WNY476" s="54"/>
      <c r="WNZ476" s="54"/>
      <c r="WOA476" s="54"/>
      <c r="WOB476" s="54"/>
      <c r="WOC476" s="54"/>
      <c r="WOD476" s="54"/>
      <c r="WOE476" s="54"/>
      <c r="WOF476" s="54"/>
      <c r="WOG476" s="54"/>
      <c r="WOH476" s="54"/>
      <c r="WOI476" s="54"/>
      <c r="WOJ476" s="54"/>
      <c r="WOK476" s="54"/>
      <c r="WOL476" s="54"/>
      <c r="WOM476" s="54"/>
      <c r="WON476" s="54"/>
      <c r="WOO476" s="54"/>
      <c r="WOP476" s="54"/>
      <c r="WOQ476" s="54"/>
      <c r="WOR476" s="54"/>
      <c r="WOS476" s="54"/>
      <c r="WOT476" s="54"/>
      <c r="WOU476" s="54"/>
      <c r="WOV476" s="54"/>
      <c r="WOW476" s="54"/>
      <c r="WOX476" s="54"/>
      <c r="WOY476" s="54"/>
      <c r="WOZ476" s="54"/>
      <c r="WPA476" s="54"/>
      <c r="WPB476" s="54"/>
      <c r="WPC476" s="54"/>
      <c r="WPD476" s="54"/>
      <c r="WPE476" s="54"/>
      <c r="WPF476" s="54"/>
      <c r="WPG476" s="54"/>
      <c r="WPH476" s="54"/>
      <c r="WPI476" s="54"/>
      <c r="WPJ476" s="54"/>
      <c r="WPK476" s="54"/>
      <c r="WPL476" s="54"/>
      <c r="WPM476" s="54"/>
      <c r="WPN476" s="54"/>
      <c r="WPO476" s="54"/>
      <c r="WPP476" s="54"/>
      <c r="WPQ476" s="54"/>
      <c r="WPR476" s="54"/>
      <c r="WPS476" s="54"/>
      <c r="WPT476" s="54"/>
      <c r="WPU476" s="54"/>
      <c r="WPV476" s="54"/>
      <c r="WPW476" s="54"/>
      <c r="WPX476" s="54"/>
      <c r="WPY476" s="54"/>
      <c r="WPZ476" s="54"/>
      <c r="WQA476" s="54"/>
      <c r="WQB476" s="54"/>
      <c r="WQC476" s="54"/>
      <c r="WQD476" s="54"/>
      <c r="WQE476" s="54"/>
      <c r="WQF476" s="54"/>
      <c r="WQG476" s="54"/>
      <c r="WQH476" s="54"/>
      <c r="WQI476" s="54"/>
      <c r="WQJ476" s="54"/>
      <c r="WQK476" s="54"/>
      <c r="WQL476" s="54"/>
      <c r="WQM476" s="54"/>
      <c r="WQN476" s="54"/>
      <c r="WQO476" s="54"/>
      <c r="WQP476" s="54"/>
      <c r="WQQ476" s="54"/>
      <c r="WQR476" s="54"/>
      <c r="WQS476" s="54"/>
      <c r="WQT476" s="54"/>
      <c r="WQU476" s="54"/>
      <c r="WQV476" s="54"/>
      <c r="WQW476" s="54"/>
      <c r="WQX476" s="54"/>
      <c r="WQY476" s="54"/>
      <c r="WQZ476" s="54"/>
      <c r="WRA476" s="54"/>
      <c r="WRB476" s="54"/>
      <c r="WRC476" s="54"/>
      <c r="WRD476" s="54"/>
      <c r="WRE476" s="54"/>
      <c r="WRF476" s="54"/>
      <c r="WRG476" s="54"/>
      <c r="WRH476" s="54"/>
      <c r="WRI476" s="54"/>
      <c r="WRJ476" s="54"/>
      <c r="WRK476" s="54"/>
      <c r="WRL476" s="54"/>
      <c r="WRM476" s="54"/>
      <c r="WRN476" s="54"/>
      <c r="WRO476" s="54"/>
      <c r="WRP476" s="54"/>
      <c r="WRQ476" s="54"/>
      <c r="WRR476" s="54"/>
      <c r="WRS476" s="54"/>
      <c r="WRT476" s="54"/>
      <c r="WRU476" s="54"/>
      <c r="WRV476" s="54"/>
      <c r="WRW476" s="54"/>
      <c r="WRX476" s="54"/>
      <c r="WRY476" s="54"/>
      <c r="WRZ476" s="54"/>
      <c r="WSA476" s="54"/>
      <c r="WSB476" s="54"/>
      <c r="WSC476" s="54"/>
      <c r="WSD476" s="54"/>
      <c r="WSE476" s="54"/>
      <c r="WSF476" s="54"/>
      <c r="WSG476" s="54"/>
      <c r="WSH476" s="54"/>
      <c r="WSI476" s="54"/>
      <c r="WSJ476" s="54"/>
      <c r="WSK476" s="54"/>
      <c r="WSL476" s="54"/>
      <c r="WSM476" s="54"/>
      <c r="WSN476" s="54"/>
      <c r="WSO476" s="54"/>
      <c r="WSP476" s="54"/>
      <c r="WSQ476" s="54"/>
      <c r="WSR476" s="54"/>
      <c r="WSS476" s="54"/>
      <c r="WST476" s="54"/>
      <c r="WSU476" s="54"/>
      <c r="WSV476" s="54"/>
      <c r="WSW476" s="54"/>
      <c r="WSX476" s="54"/>
      <c r="WSY476" s="54"/>
      <c r="WSZ476" s="54"/>
      <c r="WTA476" s="54"/>
      <c r="WTB476" s="54"/>
      <c r="WTC476" s="54"/>
      <c r="WTD476" s="54"/>
      <c r="WTE476" s="54"/>
      <c r="WTF476" s="54"/>
      <c r="WTG476" s="54"/>
      <c r="WTH476" s="54"/>
      <c r="WTI476" s="54"/>
      <c r="WTJ476" s="54"/>
      <c r="WTK476" s="54"/>
      <c r="WTL476" s="54"/>
      <c r="WTM476" s="54"/>
      <c r="WTN476" s="54"/>
      <c r="WTO476" s="54"/>
      <c r="WTP476" s="54"/>
      <c r="WTQ476" s="54"/>
      <c r="WTR476" s="54"/>
      <c r="WTS476" s="54"/>
      <c r="WTT476" s="54"/>
      <c r="WTU476" s="54"/>
      <c r="WTV476" s="54"/>
      <c r="WTW476" s="54"/>
      <c r="WTX476" s="54"/>
      <c r="WTY476" s="54"/>
      <c r="WTZ476" s="54"/>
      <c r="WUA476" s="54"/>
      <c r="WUB476" s="54"/>
      <c r="WUC476" s="54"/>
      <c r="WUD476" s="54"/>
      <c r="WUE476" s="54"/>
      <c r="WUF476" s="54"/>
      <c r="WUG476" s="54"/>
      <c r="WUH476" s="54"/>
      <c r="WUI476" s="54"/>
      <c r="WUJ476" s="54"/>
      <c r="WUK476" s="54"/>
      <c r="WUL476" s="54"/>
      <c r="WUM476" s="54"/>
      <c r="WUN476" s="54"/>
      <c r="WUO476" s="54"/>
      <c r="WUP476" s="54"/>
      <c r="WUQ476" s="54"/>
      <c r="WUR476" s="54"/>
      <c r="WUS476" s="54"/>
      <c r="WUT476" s="54"/>
      <c r="WUU476" s="54"/>
      <c r="WUV476" s="54"/>
      <c r="WUW476" s="54"/>
      <c r="WUX476" s="54"/>
      <c r="WUY476" s="54"/>
      <c r="WUZ476" s="54"/>
      <c r="WVA476" s="54"/>
      <c r="WVB476" s="54"/>
      <c r="WVC476" s="54"/>
      <c r="WVD476" s="54"/>
      <c r="WVE476" s="54"/>
      <c r="WVF476" s="54"/>
      <c r="WVG476" s="54"/>
      <c r="WVH476" s="54"/>
      <c r="WVI476" s="54"/>
      <c r="WVJ476" s="54"/>
      <c r="WVK476" s="54"/>
      <c r="WVL476" s="54"/>
      <c r="WVM476" s="54"/>
      <c r="WVN476" s="54"/>
      <c r="WVO476" s="54"/>
      <c r="WVP476" s="54"/>
      <c r="WVQ476" s="54"/>
      <c r="WVR476" s="54"/>
      <c r="WVS476" s="54"/>
      <c r="WVT476" s="54"/>
      <c r="WVU476" s="54"/>
      <c r="WVV476" s="54"/>
      <c r="WVW476" s="54"/>
      <c r="WVX476" s="54"/>
      <c r="WVY476" s="54"/>
      <c r="WVZ476" s="54"/>
      <c r="WWA476" s="54"/>
      <c r="WWB476" s="54"/>
      <c r="WWC476" s="54"/>
      <c r="WWD476" s="54"/>
      <c r="WWE476" s="54"/>
      <c r="WWF476" s="54"/>
      <c r="WWG476" s="54"/>
      <c r="WWH476" s="54"/>
      <c r="WWI476" s="54"/>
      <c r="WWJ476" s="54"/>
      <c r="WWK476" s="54"/>
      <c r="WWL476" s="54"/>
      <c r="WWM476" s="54"/>
      <c r="WWN476" s="54"/>
      <c r="WWO476" s="54"/>
      <c r="WWP476" s="54"/>
      <c r="WWQ476" s="54"/>
      <c r="WWR476" s="54"/>
      <c r="WWS476" s="54"/>
      <c r="WWT476" s="54"/>
      <c r="WWU476" s="54"/>
      <c r="WWV476" s="54"/>
      <c r="WWW476" s="54"/>
      <c r="WWX476" s="54"/>
      <c r="WWY476" s="54"/>
      <c r="WWZ476" s="54"/>
      <c r="WXA476" s="54"/>
      <c r="WXB476" s="54"/>
      <c r="WXC476" s="54"/>
      <c r="WXD476" s="54"/>
      <c r="WXE476" s="54"/>
      <c r="WXF476" s="54"/>
      <c r="WXG476" s="54"/>
      <c r="WXH476" s="54"/>
      <c r="WXI476" s="54"/>
      <c r="WXJ476" s="54"/>
      <c r="WXK476" s="54"/>
      <c r="WXL476" s="54"/>
      <c r="WXM476" s="54"/>
      <c r="WXN476" s="54"/>
      <c r="WXO476" s="54"/>
      <c r="WXP476" s="54"/>
      <c r="WXQ476" s="54"/>
      <c r="WXR476" s="54"/>
      <c r="WXS476" s="54"/>
      <c r="WXT476" s="54"/>
      <c r="WXU476" s="54"/>
      <c r="WXV476" s="54"/>
      <c r="WXW476" s="54"/>
      <c r="WXX476" s="54"/>
      <c r="WXY476" s="54"/>
      <c r="WXZ476" s="54"/>
      <c r="WYA476" s="54"/>
      <c r="WYB476" s="54"/>
      <c r="WYC476" s="54"/>
      <c r="WYD476" s="54"/>
      <c r="WYE476" s="54"/>
      <c r="WYF476" s="54"/>
      <c r="WYG476" s="54"/>
      <c r="WYH476" s="54"/>
      <c r="WYI476" s="54"/>
      <c r="WYJ476" s="54"/>
      <c r="WYK476" s="54"/>
      <c r="WYL476" s="54"/>
      <c r="WYM476" s="54"/>
      <c r="WYN476" s="54"/>
      <c r="WYO476" s="54"/>
      <c r="WYP476" s="54"/>
      <c r="WYQ476" s="54"/>
      <c r="WYR476" s="54"/>
      <c r="WYS476" s="54"/>
      <c r="WYT476" s="54"/>
      <c r="WYU476" s="54"/>
      <c r="WYV476" s="54"/>
      <c r="WYW476" s="54"/>
      <c r="WYX476" s="54"/>
      <c r="WYY476" s="54"/>
      <c r="WYZ476" s="54"/>
      <c r="WZA476" s="54"/>
      <c r="WZB476" s="54"/>
      <c r="WZC476" s="54"/>
      <c r="WZD476" s="54"/>
      <c r="WZE476" s="54"/>
      <c r="WZF476" s="54"/>
      <c r="WZG476" s="54"/>
      <c r="WZH476" s="54"/>
      <c r="WZI476" s="54"/>
      <c r="WZJ476" s="54"/>
      <c r="WZK476" s="54"/>
      <c r="WZL476" s="54"/>
      <c r="WZM476" s="54"/>
      <c r="WZN476" s="54"/>
      <c r="WZO476" s="54"/>
      <c r="WZP476" s="54"/>
      <c r="WZQ476" s="54"/>
      <c r="WZR476" s="54"/>
      <c r="WZS476" s="54"/>
      <c r="WZT476" s="54"/>
      <c r="WZU476" s="54"/>
      <c r="WZV476" s="54"/>
      <c r="WZW476" s="54"/>
      <c r="WZX476" s="54"/>
      <c r="WZY476" s="54"/>
      <c r="WZZ476" s="54"/>
      <c r="XAA476" s="54"/>
      <c r="XAB476" s="54"/>
      <c r="XAC476" s="54"/>
      <c r="XAD476" s="54"/>
      <c r="XAE476" s="54"/>
      <c r="XAF476" s="54"/>
      <c r="XAG476" s="54"/>
      <c r="XAH476" s="54"/>
      <c r="XAI476" s="54"/>
      <c r="XAJ476" s="54"/>
      <c r="XAK476" s="54"/>
      <c r="XAL476" s="54"/>
      <c r="XAM476" s="54"/>
      <c r="XAN476" s="54"/>
      <c r="XAO476" s="54"/>
      <c r="XAP476" s="54"/>
      <c r="XAQ476" s="54"/>
      <c r="XAR476" s="54"/>
      <c r="XAS476" s="54"/>
      <c r="XAT476" s="54"/>
      <c r="XAU476" s="54"/>
      <c r="XAV476" s="54"/>
      <c r="XAW476" s="54"/>
      <c r="XAX476" s="54"/>
      <c r="XAY476" s="54"/>
      <c r="XAZ476" s="54"/>
      <c r="XBA476" s="54"/>
      <c r="XBB476" s="54"/>
      <c r="XBC476" s="54"/>
      <c r="XBD476" s="54"/>
      <c r="XBE476" s="54"/>
      <c r="XBF476" s="54"/>
      <c r="XBG476" s="54"/>
      <c r="XBH476" s="54"/>
      <c r="XBI476" s="54"/>
      <c r="XBJ476" s="54"/>
      <c r="XBK476" s="54"/>
      <c r="XBL476" s="54"/>
      <c r="XBM476" s="54"/>
      <c r="XBN476" s="54"/>
      <c r="XBO476" s="54"/>
      <c r="XBP476" s="54"/>
      <c r="XBQ476" s="54"/>
      <c r="XBR476" s="54"/>
      <c r="XBS476" s="54"/>
      <c r="XBT476" s="54"/>
      <c r="XBU476" s="54"/>
      <c r="XBV476" s="54"/>
      <c r="XBW476" s="54"/>
      <c r="XBX476" s="54"/>
      <c r="XBY476" s="54"/>
      <c r="XBZ476" s="54"/>
      <c r="XCA476" s="54"/>
      <c r="XCB476" s="54"/>
      <c r="XCC476" s="54"/>
      <c r="XCD476" s="54"/>
      <c r="XCE476" s="54"/>
      <c r="XCF476" s="54"/>
      <c r="XCG476" s="54"/>
      <c r="XCH476" s="54"/>
      <c r="XCI476" s="54"/>
      <c r="XCJ476" s="54"/>
      <c r="XCK476" s="54"/>
      <c r="XCL476" s="54"/>
      <c r="XCM476" s="54"/>
      <c r="XCN476" s="54"/>
      <c r="XCO476" s="54"/>
      <c r="XCP476" s="54"/>
      <c r="XCQ476" s="54"/>
      <c r="XCR476" s="54"/>
      <c r="XCS476" s="54"/>
      <c r="XCT476" s="54"/>
      <c r="XCU476" s="54"/>
      <c r="XCV476" s="54"/>
      <c r="XCW476" s="54"/>
      <c r="XCX476" s="54"/>
      <c r="XCY476" s="54"/>
      <c r="XCZ476" s="54"/>
      <c r="XDA476" s="54"/>
      <c r="XDB476" s="54"/>
      <c r="XDC476" s="54"/>
      <c r="XDD476" s="54"/>
      <c r="XDE476" s="54"/>
      <c r="XDF476" s="54"/>
      <c r="XDG476" s="54"/>
      <c r="XDH476" s="54"/>
      <c r="XDI476" s="54"/>
      <c r="XDJ476" s="54"/>
      <c r="XDK476" s="54"/>
      <c r="XDL476" s="54"/>
      <c r="XDM476" s="54"/>
      <c r="XDN476" s="54"/>
      <c r="XDO476" s="54"/>
      <c r="XDP476" s="54"/>
      <c r="XDQ476" s="54"/>
      <c r="XDR476" s="54"/>
      <c r="XDS476" s="54"/>
      <c r="XDT476" s="54"/>
      <c r="XDU476" s="54"/>
      <c r="XDV476" s="54"/>
      <c r="XDW476" s="54"/>
      <c r="XDX476" s="54"/>
      <c r="XDY476" s="54"/>
      <c r="XDZ476" s="54"/>
      <c r="XEA476" s="54"/>
      <c r="XEB476" s="54"/>
      <c r="XEC476" s="54"/>
      <c r="XED476" s="54"/>
      <c r="XEE476" s="54"/>
      <c r="XEF476" s="54"/>
      <c r="XEG476" s="54"/>
      <c r="XEH476" s="54"/>
      <c r="XEI476" s="54"/>
      <c r="XEJ476" s="54"/>
      <c r="XEK476" s="54"/>
      <c r="XEL476" s="54"/>
      <c r="XEM476" s="54"/>
      <c r="XEN476" s="54"/>
      <c r="XEO476" s="54"/>
      <c r="XEP476" s="54"/>
      <c r="XEQ476" s="54"/>
      <c r="XER476" s="54"/>
      <c r="XES476" s="54"/>
      <c r="XET476" s="54"/>
      <c r="XEU476" s="54"/>
      <c r="XEV476" s="54"/>
      <c r="XEW476" s="54"/>
      <c r="XEX476" s="54"/>
      <c r="XEY476" s="54"/>
      <c r="XEZ476" s="54"/>
      <c r="XFA476" s="54"/>
      <c r="XFB476" s="54"/>
      <c r="XFC476" s="54"/>
      <c r="XFD476" s="54"/>
    </row>
    <row r="477" spans="1:16384" s="4" customFormat="1" ht="18" hidden="1">
      <c r="A477" s="4">
        <v>472</v>
      </c>
      <c r="B477" s="32" t="s">
        <v>573</v>
      </c>
      <c r="C477" s="33"/>
      <c r="H477" s="33"/>
      <c r="AG477" s="44"/>
    </row>
    <row r="478" spans="1:16384" ht="30" hidden="1">
      <c r="A478" s="4">
        <v>473</v>
      </c>
      <c r="B478" s="34" t="s">
        <v>574</v>
      </c>
      <c r="C478" s="34" t="s">
        <v>575</v>
      </c>
      <c r="D478" s="4" t="s">
        <v>576</v>
      </c>
      <c r="E478" s="8" t="s">
        <v>47</v>
      </c>
      <c r="G478" s="35">
        <v>44803</v>
      </c>
      <c r="H478" s="36" t="s">
        <v>577</v>
      </c>
      <c r="I478" s="36" t="s">
        <v>578</v>
      </c>
      <c r="J478" s="43">
        <v>44910</v>
      </c>
      <c r="K478" s="36" t="s">
        <v>579</v>
      </c>
      <c r="L478" s="16" t="s">
        <v>317</v>
      </c>
      <c r="M478" s="35">
        <v>45029</v>
      </c>
      <c r="N478" s="4"/>
      <c r="O478" s="8" t="s">
        <v>47</v>
      </c>
      <c r="P478" s="35">
        <v>45031</v>
      </c>
      <c r="Q478" s="4"/>
      <c r="R478" s="35">
        <v>45034</v>
      </c>
      <c r="S478" s="4"/>
      <c r="T478" s="35">
        <v>45036</v>
      </c>
      <c r="U478" s="4"/>
      <c r="V478" s="4"/>
      <c r="W478" s="17">
        <v>45073</v>
      </c>
      <c r="X478" s="4"/>
      <c r="Y478" s="4"/>
      <c r="Z478" s="17">
        <v>45077</v>
      </c>
      <c r="AA478" s="4"/>
      <c r="AB478" s="4"/>
      <c r="AC478" s="4"/>
      <c r="AD478" s="4"/>
      <c r="AE478" s="4"/>
      <c r="AF478" s="4"/>
    </row>
    <row r="479" spans="1:16384" ht="68" hidden="1">
      <c r="A479" s="4">
        <v>474</v>
      </c>
      <c r="B479" s="34" t="s">
        <v>580</v>
      </c>
      <c r="C479" s="34" t="s">
        <v>581</v>
      </c>
      <c r="D479" s="4" t="s">
        <v>576</v>
      </c>
      <c r="E479" s="8" t="s">
        <v>47</v>
      </c>
      <c r="G479" s="35">
        <v>44803</v>
      </c>
      <c r="H479" s="36" t="s">
        <v>577</v>
      </c>
      <c r="I479" s="36" t="s">
        <v>578</v>
      </c>
      <c r="J479" s="43">
        <v>44910</v>
      </c>
      <c r="K479" s="36" t="s">
        <v>579</v>
      </c>
      <c r="L479" s="16" t="s">
        <v>317</v>
      </c>
      <c r="M479" s="35">
        <v>45029</v>
      </c>
      <c r="N479" s="4"/>
      <c r="O479" s="8" t="s">
        <v>47</v>
      </c>
      <c r="P479" s="35">
        <v>45031</v>
      </c>
      <c r="Q479" s="4"/>
      <c r="R479" s="35">
        <v>45034</v>
      </c>
      <c r="S479" s="4"/>
      <c r="T479" s="35">
        <v>45036</v>
      </c>
      <c r="U479" s="4"/>
      <c r="V479" s="4"/>
      <c r="W479" s="17">
        <v>45073</v>
      </c>
      <c r="X479" s="4"/>
      <c r="Y479" s="4"/>
      <c r="Z479" s="17">
        <v>45077</v>
      </c>
      <c r="AA479" s="4"/>
      <c r="AB479" s="4"/>
      <c r="AC479" s="4"/>
      <c r="AD479" s="4"/>
      <c r="AE479" s="4"/>
      <c r="AF479" s="4"/>
    </row>
    <row r="480" spans="1:16384" ht="30" hidden="1">
      <c r="A480" s="4">
        <v>475</v>
      </c>
      <c r="B480" s="37" t="s">
        <v>582</v>
      </c>
      <c r="C480" s="34" t="s">
        <v>583</v>
      </c>
      <c r="D480" s="4" t="s">
        <v>576</v>
      </c>
      <c r="E480" s="8" t="s">
        <v>47</v>
      </c>
      <c r="G480" s="35">
        <v>44803</v>
      </c>
      <c r="H480" s="38" t="s">
        <v>584</v>
      </c>
      <c r="I480" s="36" t="s">
        <v>578</v>
      </c>
      <c r="J480" s="43">
        <v>45036</v>
      </c>
      <c r="K480" s="38"/>
      <c r="L480" s="16" t="s">
        <v>317</v>
      </c>
      <c r="M480" s="43">
        <v>45038</v>
      </c>
      <c r="N480" s="4"/>
      <c r="O480" s="8" t="s">
        <v>47</v>
      </c>
      <c r="P480" s="43">
        <v>45040</v>
      </c>
      <c r="Q480" s="4"/>
      <c r="R480" s="43">
        <v>45042</v>
      </c>
      <c r="S480" s="4"/>
      <c r="T480" s="43">
        <v>45044</v>
      </c>
      <c r="U480" s="4"/>
      <c r="V480" s="4"/>
      <c r="W480" s="17">
        <v>45073</v>
      </c>
      <c r="X480" s="4"/>
      <c r="Y480" s="4"/>
      <c r="Z480" s="17">
        <v>45077</v>
      </c>
      <c r="AA480" s="4"/>
      <c r="AB480" s="4"/>
      <c r="AC480" s="4"/>
      <c r="AD480" s="4"/>
      <c r="AE480" s="4"/>
      <c r="AF480" s="4"/>
    </row>
    <row r="481" spans="1:32" ht="30" hidden="1">
      <c r="A481" s="4">
        <v>476</v>
      </c>
      <c r="B481" s="37" t="s">
        <v>585</v>
      </c>
      <c r="C481" s="34" t="s">
        <v>586</v>
      </c>
      <c r="D481" s="4" t="s">
        <v>576</v>
      </c>
      <c r="E481" s="8" t="s">
        <v>47</v>
      </c>
      <c r="G481" s="35">
        <v>44803</v>
      </c>
      <c r="H481" s="38" t="s">
        <v>584</v>
      </c>
      <c r="I481" s="36" t="s">
        <v>578</v>
      </c>
      <c r="J481" s="43">
        <v>45036</v>
      </c>
      <c r="K481" s="38"/>
      <c r="L481" s="16" t="s">
        <v>317</v>
      </c>
      <c r="M481" s="43">
        <v>45038</v>
      </c>
      <c r="N481" s="4"/>
      <c r="O481" s="8" t="s">
        <v>47</v>
      </c>
      <c r="P481" s="43">
        <v>45040</v>
      </c>
      <c r="Q481" s="4"/>
      <c r="R481" s="43">
        <v>45042</v>
      </c>
      <c r="S481" s="4"/>
      <c r="T481" s="43">
        <v>45044</v>
      </c>
      <c r="U481" s="4"/>
      <c r="V481" s="4"/>
      <c r="W481" s="17">
        <v>45073</v>
      </c>
      <c r="X481" s="4"/>
      <c r="Y481" s="4"/>
      <c r="Z481" s="17">
        <v>45077</v>
      </c>
      <c r="AA481" s="4"/>
      <c r="AB481" s="4"/>
      <c r="AC481" s="4"/>
      <c r="AD481" s="4"/>
      <c r="AE481" s="4"/>
      <c r="AF481" s="4"/>
    </row>
    <row r="482" spans="1:32" ht="68" hidden="1">
      <c r="A482" s="4">
        <v>477</v>
      </c>
      <c r="B482" s="37" t="s">
        <v>587</v>
      </c>
      <c r="C482" s="34" t="s">
        <v>588</v>
      </c>
      <c r="D482" s="4" t="s">
        <v>576</v>
      </c>
      <c r="E482" s="8" t="s">
        <v>47</v>
      </c>
      <c r="G482" s="35">
        <v>44803</v>
      </c>
      <c r="H482" s="36" t="s">
        <v>577</v>
      </c>
      <c r="I482" s="36" t="s">
        <v>578</v>
      </c>
      <c r="J482" s="43">
        <v>44910</v>
      </c>
      <c r="K482" s="36" t="s">
        <v>579</v>
      </c>
      <c r="L482" s="16" t="s">
        <v>317</v>
      </c>
      <c r="M482" s="35">
        <v>45031</v>
      </c>
      <c r="N482" s="4"/>
      <c r="O482" s="8" t="s">
        <v>47</v>
      </c>
      <c r="P482" s="35">
        <v>45036</v>
      </c>
      <c r="Q482" s="4"/>
      <c r="R482" s="35">
        <v>45038</v>
      </c>
      <c r="S482" s="4"/>
      <c r="T482" s="35">
        <v>45040</v>
      </c>
      <c r="U482" s="4"/>
      <c r="V482" s="4"/>
      <c r="W482" s="17">
        <v>45073</v>
      </c>
      <c r="X482" s="4"/>
      <c r="Y482" s="4"/>
      <c r="Z482" s="17">
        <v>45077</v>
      </c>
      <c r="AA482" s="4"/>
      <c r="AB482" s="4"/>
      <c r="AC482" s="4"/>
      <c r="AD482" s="4"/>
      <c r="AE482" s="4"/>
      <c r="AF482" s="4"/>
    </row>
    <row r="483" spans="1:32" ht="30" hidden="1">
      <c r="A483" s="4">
        <v>478</v>
      </c>
      <c r="B483" s="34" t="s">
        <v>589</v>
      </c>
      <c r="C483" s="34" t="s">
        <v>589</v>
      </c>
      <c r="D483" s="4" t="s">
        <v>576</v>
      </c>
      <c r="E483" s="8" t="s">
        <v>47</v>
      </c>
      <c r="G483" s="35">
        <v>44803</v>
      </c>
      <c r="H483" s="36" t="s">
        <v>577</v>
      </c>
      <c r="I483" s="36" t="s">
        <v>578</v>
      </c>
      <c r="J483" s="43">
        <v>44910</v>
      </c>
      <c r="K483" s="36" t="s">
        <v>579</v>
      </c>
      <c r="L483" s="16" t="s">
        <v>317</v>
      </c>
      <c r="M483" s="35">
        <v>45031</v>
      </c>
      <c r="N483" s="4"/>
      <c r="O483" s="8" t="s">
        <v>47</v>
      </c>
      <c r="P483" s="35">
        <v>45036</v>
      </c>
      <c r="Q483" s="4"/>
      <c r="R483" s="35">
        <v>45038</v>
      </c>
      <c r="S483" s="4"/>
      <c r="T483" s="35">
        <v>45040</v>
      </c>
      <c r="U483" s="4"/>
      <c r="V483" s="4"/>
      <c r="W483" s="17">
        <v>45073</v>
      </c>
      <c r="X483" s="4"/>
      <c r="Y483" s="4"/>
      <c r="Z483" s="17">
        <v>45077</v>
      </c>
      <c r="AA483" s="4"/>
      <c r="AB483" s="4"/>
      <c r="AC483" s="4"/>
      <c r="AD483" s="4"/>
      <c r="AE483" s="4"/>
      <c r="AF483" s="4"/>
    </row>
    <row r="484" spans="1:32" ht="30" hidden="1">
      <c r="A484" s="4">
        <v>479</v>
      </c>
      <c r="B484" s="34" t="s">
        <v>590</v>
      </c>
      <c r="C484" s="34" t="s">
        <v>590</v>
      </c>
      <c r="D484" s="4" t="s">
        <v>576</v>
      </c>
      <c r="E484" s="8" t="s">
        <v>47</v>
      </c>
      <c r="G484" s="35">
        <v>44803</v>
      </c>
      <c r="H484" s="36" t="s">
        <v>577</v>
      </c>
      <c r="I484" s="36" t="s">
        <v>578</v>
      </c>
      <c r="J484" s="43">
        <v>44910</v>
      </c>
      <c r="K484" s="36" t="s">
        <v>579</v>
      </c>
      <c r="L484" s="16" t="s">
        <v>317</v>
      </c>
      <c r="M484" s="35">
        <v>45031</v>
      </c>
      <c r="N484" s="4"/>
      <c r="O484" s="8" t="s">
        <v>47</v>
      </c>
      <c r="P484" s="35">
        <v>45036</v>
      </c>
      <c r="Q484" s="4"/>
      <c r="R484" s="35">
        <v>45038</v>
      </c>
      <c r="S484" s="4"/>
      <c r="T484" s="35">
        <v>45040</v>
      </c>
      <c r="U484" s="4"/>
      <c r="V484" s="4"/>
      <c r="W484" s="17">
        <v>45073</v>
      </c>
      <c r="X484" s="4"/>
      <c r="Y484" s="4"/>
      <c r="Z484" s="17">
        <v>45077</v>
      </c>
      <c r="AA484" s="4"/>
      <c r="AB484" s="4"/>
      <c r="AC484" s="4"/>
      <c r="AD484" s="4"/>
      <c r="AE484" s="4"/>
      <c r="AF484" s="4"/>
    </row>
    <row r="485" spans="1:32" ht="68" hidden="1">
      <c r="A485" s="4">
        <v>480</v>
      </c>
      <c r="B485" s="37" t="s">
        <v>591</v>
      </c>
      <c r="C485" s="34" t="s">
        <v>592</v>
      </c>
      <c r="D485" s="4" t="s">
        <v>576</v>
      </c>
      <c r="E485" s="8" t="s">
        <v>47</v>
      </c>
      <c r="G485" s="35">
        <v>44803</v>
      </c>
      <c r="H485" s="38" t="s">
        <v>593</v>
      </c>
      <c r="I485" s="36" t="s">
        <v>578</v>
      </c>
      <c r="J485" s="43">
        <v>44988</v>
      </c>
      <c r="K485" s="36" t="s">
        <v>579</v>
      </c>
      <c r="L485" s="16" t="s">
        <v>317</v>
      </c>
      <c r="M485" s="35">
        <v>45029</v>
      </c>
      <c r="N485" s="4"/>
      <c r="O485" s="8" t="s">
        <v>47</v>
      </c>
      <c r="P485" s="35">
        <v>45031</v>
      </c>
      <c r="Q485" s="4"/>
      <c r="R485" s="35">
        <v>45034</v>
      </c>
      <c r="S485" s="4"/>
      <c r="T485" s="35">
        <v>45036</v>
      </c>
      <c r="U485" s="4"/>
      <c r="V485" s="4"/>
      <c r="W485" s="17">
        <v>45073</v>
      </c>
      <c r="X485" s="4"/>
      <c r="Y485" s="4"/>
      <c r="Z485" s="17">
        <v>45077</v>
      </c>
      <c r="AA485" s="4"/>
      <c r="AB485" s="4"/>
      <c r="AC485" s="4"/>
      <c r="AD485" s="4"/>
      <c r="AE485" s="4"/>
      <c r="AF485" s="4"/>
    </row>
    <row r="486" spans="1:32" ht="30" hidden="1">
      <c r="A486" s="4">
        <v>481</v>
      </c>
      <c r="B486" s="37" t="s">
        <v>594</v>
      </c>
      <c r="C486" s="34" t="s">
        <v>595</v>
      </c>
      <c r="D486" s="4" t="s">
        <v>576</v>
      </c>
      <c r="E486" s="8" t="s">
        <v>47</v>
      </c>
      <c r="G486" s="35">
        <v>44803</v>
      </c>
      <c r="H486" s="36" t="s">
        <v>577</v>
      </c>
      <c r="I486" s="36" t="s">
        <v>578</v>
      </c>
      <c r="J486" s="43">
        <v>44910</v>
      </c>
      <c r="K486" s="36" t="s">
        <v>579</v>
      </c>
      <c r="L486" s="16" t="s">
        <v>317</v>
      </c>
      <c r="M486" s="35">
        <v>45029</v>
      </c>
      <c r="N486" s="4"/>
      <c r="O486" s="8" t="s">
        <v>47</v>
      </c>
      <c r="P486" s="35">
        <v>45031</v>
      </c>
      <c r="Q486" s="4"/>
      <c r="R486" s="35">
        <v>45034</v>
      </c>
      <c r="S486" s="4"/>
      <c r="T486" s="35">
        <v>45036</v>
      </c>
      <c r="U486" s="4"/>
      <c r="V486" s="4"/>
      <c r="W486" s="17">
        <v>45073</v>
      </c>
      <c r="X486" s="4"/>
      <c r="Y486" s="4"/>
      <c r="Z486" s="17">
        <v>45077</v>
      </c>
      <c r="AA486" s="4"/>
      <c r="AB486" s="4"/>
      <c r="AC486" s="4"/>
      <c r="AD486" s="4"/>
      <c r="AE486" s="4"/>
      <c r="AF486" s="4"/>
    </row>
    <row r="487" spans="1:32" ht="68" hidden="1">
      <c r="A487" s="4">
        <v>482</v>
      </c>
      <c r="B487" s="37" t="s">
        <v>596</v>
      </c>
      <c r="C487" s="39" t="s">
        <v>597</v>
      </c>
      <c r="D487" s="4" t="s">
        <v>576</v>
      </c>
      <c r="E487" s="8" t="s">
        <v>47</v>
      </c>
      <c r="G487" s="35">
        <v>44803</v>
      </c>
      <c r="H487" s="38" t="s">
        <v>598</v>
      </c>
      <c r="I487" s="36" t="s">
        <v>578</v>
      </c>
      <c r="J487" s="43">
        <v>45046</v>
      </c>
      <c r="K487" s="38" t="s">
        <v>598</v>
      </c>
      <c r="L487" s="16" t="s">
        <v>317</v>
      </c>
      <c r="M487" s="43">
        <v>45053</v>
      </c>
      <c r="N487" s="4"/>
      <c r="O487" s="8" t="s">
        <v>47</v>
      </c>
      <c r="P487" s="35">
        <v>45055</v>
      </c>
      <c r="Q487" s="4"/>
      <c r="R487" s="35">
        <v>45057</v>
      </c>
      <c r="S487" s="4"/>
      <c r="T487" s="35">
        <v>45059</v>
      </c>
      <c r="U487" s="4"/>
      <c r="V487" s="4"/>
      <c r="W487" s="17">
        <v>45073</v>
      </c>
      <c r="X487" s="4"/>
      <c r="Y487" s="4"/>
      <c r="Z487" s="17">
        <v>45077</v>
      </c>
      <c r="AA487" s="4"/>
      <c r="AB487" s="4"/>
      <c r="AC487" s="4"/>
      <c r="AD487" s="4"/>
      <c r="AE487" s="4"/>
      <c r="AF487" s="4"/>
    </row>
    <row r="488" spans="1:32" ht="85" hidden="1">
      <c r="A488" s="4">
        <v>483</v>
      </c>
      <c r="B488" s="37" t="s">
        <v>599</v>
      </c>
      <c r="C488" s="39" t="s">
        <v>600</v>
      </c>
      <c r="D488" s="4" t="s">
        <v>576</v>
      </c>
      <c r="E488" s="8" t="s">
        <v>47</v>
      </c>
      <c r="G488" s="35">
        <v>44803</v>
      </c>
      <c r="H488" s="38" t="s">
        <v>584</v>
      </c>
      <c r="I488" s="36" t="s">
        <v>578</v>
      </c>
      <c r="J488" s="43">
        <v>45046</v>
      </c>
      <c r="K488" s="38"/>
      <c r="L488" s="16" t="s">
        <v>317</v>
      </c>
      <c r="M488" s="43">
        <v>45053</v>
      </c>
      <c r="N488" s="4"/>
      <c r="O488" s="8" t="s">
        <v>47</v>
      </c>
      <c r="P488" s="35">
        <v>45055</v>
      </c>
      <c r="Q488" s="4"/>
      <c r="R488" s="35">
        <v>45057</v>
      </c>
      <c r="S488" s="4"/>
      <c r="T488" s="35">
        <v>45059</v>
      </c>
      <c r="U488" s="4"/>
      <c r="V488" s="4"/>
      <c r="W488" s="17">
        <v>45073</v>
      </c>
      <c r="X488" s="4"/>
      <c r="Y488" s="4"/>
      <c r="Z488" s="17">
        <v>45077</v>
      </c>
      <c r="AA488" s="4"/>
      <c r="AB488" s="4"/>
      <c r="AC488" s="4"/>
      <c r="AD488" s="4"/>
      <c r="AE488" s="4"/>
      <c r="AF488" s="4"/>
    </row>
    <row r="489" spans="1:32" ht="51" hidden="1">
      <c r="A489" s="4">
        <v>484</v>
      </c>
      <c r="B489" s="37" t="s">
        <v>601</v>
      </c>
      <c r="C489" s="39" t="s">
        <v>602</v>
      </c>
      <c r="D489" s="4" t="s">
        <v>576</v>
      </c>
      <c r="E489" s="8" t="s">
        <v>47</v>
      </c>
      <c r="G489" s="35">
        <v>44803</v>
      </c>
      <c r="H489" s="38" t="s">
        <v>584</v>
      </c>
      <c r="I489" s="36" t="s">
        <v>578</v>
      </c>
      <c r="J489" s="43">
        <v>45046</v>
      </c>
      <c r="K489" s="38"/>
      <c r="L489" s="16" t="s">
        <v>317</v>
      </c>
      <c r="M489" s="43">
        <v>45053</v>
      </c>
      <c r="N489" s="4"/>
      <c r="O489" s="8" t="s">
        <v>47</v>
      </c>
      <c r="P489" s="35">
        <v>45055</v>
      </c>
      <c r="Q489" s="4"/>
      <c r="R489" s="35">
        <v>45057</v>
      </c>
      <c r="S489" s="4"/>
      <c r="T489" s="35">
        <v>45059</v>
      </c>
      <c r="U489" s="4"/>
      <c r="V489" s="4"/>
      <c r="W489" s="17">
        <v>45073</v>
      </c>
      <c r="X489" s="4"/>
      <c r="Y489" s="4"/>
      <c r="Z489" s="17">
        <v>45077</v>
      </c>
      <c r="AA489" s="4"/>
      <c r="AB489" s="4"/>
      <c r="AC489" s="4"/>
      <c r="AD489" s="4"/>
      <c r="AE489" s="4"/>
      <c r="AF489" s="4"/>
    </row>
    <row r="490" spans="1:32" ht="30" hidden="1">
      <c r="A490" s="4">
        <v>485</v>
      </c>
      <c r="B490" s="34" t="s">
        <v>603</v>
      </c>
      <c r="C490" s="34" t="s">
        <v>604</v>
      </c>
      <c r="D490" s="4" t="s">
        <v>576</v>
      </c>
      <c r="E490" s="8" t="s">
        <v>47</v>
      </c>
      <c r="G490" s="35">
        <v>44803</v>
      </c>
      <c r="H490" s="36" t="s">
        <v>577</v>
      </c>
      <c r="I490" s="36" t="s">
        <v>578</v>
      </c>
      <c r="J490" s="43">
        <v>44910</v>
      </c>
      <c r="K490" s="36" t="s">
        <v>579</v>
      </c>
      <c r="L490" s="16" t="s">
        <v>317</v>
      </c>
      <c r="M490" s="35">
        <v>45029</v>
      </c>
      <c r="N490" s="4"/>
      <c r="O490" s="8" t="s">
        <v>47</v>
      </c>
      <c r="P490" s="35">
        <v>45031</v>
      </c>
      <c r="Q490" s="4"/>
      <c r="R490" s="35">
        <v>45034</v>
      </c>
      <c r="S490" s="4"/>
      <c r="T490" s="35">
        <v>45036</v>
      </c>
      <c r="U490" s="4"/>
      <c r="V490" s="4"/>
      <c r="W490" s="17">
        <v>45073</v>
      </c>
      <c r="X490" s="4"/>
      <c r="Y490" s="4"/>
      <c r="Z490" s="17">
        <v>45077</v>
      </c>
      <c r="AA490" s="4"/>
      <c r="AB490" s="4"/>
      <c r="AC490" s="4"/>
      <c r="AD490" s="4"/>
      <c r="AE490" s="4"/>
      <c r="AF490" s="4"/>
    </row>
    <row r="491" spans="1:32" ht="34" hidden="1">
      <c r="A491" s="4">
        <v>486</v>
      </c>
      <c r="B491" s="34" t="s">
        <v>605</v>
      </c>
      <c r="C491" s="34" t="s">
        <v>606</v>
      </c>
      <c r="D491" s="4" t="s">
        <v>576</v>
      </c>
      <c r="E491" s="8" t="s">
        <v>47</v>
      </c>
      <c r="G491" s="35">
        <v>44803</v>
      </c>
      <c r="H491" s="38" t="s">
        <v>607</v>
      </c>
      <c r="I491" s="36" t="s">
        <v>578</v>
      </c>
      <c r="J491" s="43">
        <v>44910</v>
      </c>
      <c r="K491" s="36" t="s">
        <v>579</v>
      </c>
      <c r="L491" s="16" t="s">
        <v>317</v>
      </c>
      <c r="M491" s="35">
        <v>45029</v>
      </c>
      <c r="N491" s="4"/>
      <c r="O491" s="8" t="s">
        <v>47</v>
      </c>
      <c r="P491" s="35">
        <v>45031</v>
      </c>
      <c r="Q491" s="4"/>
      <c r="R491" s="35">
        <v>45034</v>
      </c>
      <c r="S491" s="4"/>
      <c r="T491" s="35">
        <v>45036</v>
      </c>
      <c r="U491" s="4"/>
      <c r="V491" s="4"/>
      <c r="W491" s="17">
        <v>45073</v>
      </c>
      <c r="X491" s="4"/>
      <c r="Y491" s="4"/>
      <c r="Z491" s="17">
        <v>45077</v>
      </c>
      <c r="AA491" s="4"/>
      <c r="AB491" s="4"/>
      <c r="AC491" s="4"/>
      <c r="AD491" s="4"/>
      <c r="AE491" s="4"/>
      <c r="AF491" s="4"/>
    </row>
    <row r="492" spans="1:32" ht="17" hidden="1">
      <c r="A492" s="4">
        <v>487</v>
      </c>
      <c r="B492" s="40" t="s">
        <v>434</v>
      </c>
      <c r="C492" s="34"/>
      <c r="E492" s="8" t="s">
        <v>47</v>
      </c>
      <c r="G492" s="35"/>
      <c r="H492" s="38"/>
      <c r="I492" s="36"/>
      <c r="J492" s="43"/>
      <c r="K492" s="38"/>
      <c r="L492" s="16"/>
      <c r="M492" s="35"/>
      <c r="N492" s="4"/>
      <c r="O492" s="8"/>
      <c r="P492" s="4"/>
      <c r="Q492" s="4"/>
      <c r="R492" s="4"/>
      <c r="S492" s="4"/>
      <c r="T492" s="4"/>
      <c r="U492" s="4"/>
      <c r="V492" s="4"/>
      <c r="W492" s="17">
        <v>45073</v>
      </c>
      <c r="X492" s="4"/>
      <c r="Y492" s="4"/>
      <c r="Z492" s="17"/>
      <c r="AA492" s="4"/>
      <c r="AB492" s="4"/>
      <c r="AC492" s="4"/>
      <c r="AD492" s="4"/>
      <c r="AE492" s="4"/>
      <c r="AF492" s="4"/>
    </row>
    <row r="493" spans="1:32" ht="102" hidden="1">
      <c r="A493" s="4">
        <v>488</v>
      </c>
      <c r="B493" s="34" t="s">
        <v>608</v>
      </c>
      <c r="C493" s="34" t="s">
        <v>609</v>
      </c>
      <c r="D493" s="4" t="s">
        <v>576</v>
      </c>
      <c r="E493" s="8" t="s">
        <v>47</v>
      </c>
      <c r="G493" s="35">
        <v>44803</v>
      </c>
      <c r="H493" s="36" t="s">
        <v>577</v>
      </c>
      <c r="I493" s="36" t="s">
        <v>578</v>
      </c>
      <c r="J493" s="43">
        <v>44910</v>
      </c>
      <c r="K493" s="36" t="s">
        <v>579</v>
      </c>
      <c r="L493" s="16" t="s">
        <v>317</v>
      </c>
      <c r="M493" s="35">
        <v>45031</v>
      </c>
      <c r="N493" s="4"/>
      <c r="O493" s="8" t="s">
        <v>47</v>
      </c>
      <c r="P493" s="35">
        <v>45036</v>
      </c>
      <c r="Q493" s="4"/>
      <c r="R493" s="35">
        <v>45038</v>
      </c>
      <c r="S493" s="4"/>
      <c r="T493" s="35">
        <v>45040</v>
      </c>
      <c r="U493" s="4"/>
      <c r="V493" s="4"/>
      <c r="W493" s="17">
        <v>45073</v>
      </c>
      <c r="X493" s="4"/>
      <c r="Y493" s="4"/>
      <c r="Z493" s="17">
        <v>45077</v>
      </c>
      <c r="AA493" s="4"/>
      <c r="AB493" s="4"/>
      <c r="AC493" s="4"/>
      <c r="AD493" s="4"/>
      <c r="AE493" s="4"/>
      <c r="AF493" s="4"/>
    </row>
    <row r="494" spans="1:32" ht="68" hidden="1">
      <c r="A494" s="4">
        <v>489</v>
      </c>
      <c r="B494" s="34" t="s">
        <v>610</v>
      </c>
      <c r="C494" s="34" t="s">
        <v>611</v>
      </c>
      <c r="D494" s="4" t="s">
        <v>576</v>
      </c>
      <c r="E494" s="8" t="s">
        <v>47</v>
      </c>
      <c r="G494" s="35">
        <v>44803</v>
      </c>
      <c r="H494" s="36" t="s">
        <v>577</v>
      </c>
      <c r="I494" s="36" t="s">
        <v>578</v>
      </c>
      <c r="J494" s="43">
        <v>44910</v>
      </c>
      <c r="K494" s="36" t="s">
        <v>579</v>
      </c>
      <c r="L494" s="16" t="s">
        <v>317</v>
      </c>
      <c r="M494" s="35">
        <v>45031</v>
      </c>
      <c r="N494" s="4"/>
      <c r="O494" s="8" t="s">
        <v>47</v>
      </c>
      <c r="P494" s="35">
        <v>45036</v>
      </c>
      <c r="Q494" s="4"/>
      <c r="R494" s="35">
        <v>45038</v>
      </c>
      <c r="S494" s="4"/>
      <c r="T494" s="35">
        <v>45040</v>
      </c>
      <c r="U494" s="4"/>
      <c r="V494" s="4"/>
      <c r="W494" s="17">
        <v>45073</v>
      </c>
      <c r="X494" s="4"/>
      <c r="Y494" s="4"/>
      <c r="Z494" s="17">
        <v>45077</v>
      </c>
      <c r="AA494" s="4"/>
      <c r="AB494" s="4"/>
      <c r="AC494" s="4"/>
      <c r="AD494" s="4"/>
      <c r="AE494" s="4"/>
      <c r="AF494" s="4"/>
    </row>
    <row r="495" spans="1:32" ht="30" hidden="1">
      <c r="A495" s="4">
        <v>490</v>
      </c>
      <c r="B495" s="34" t="s">
        <v>612</v>
      </c>
      <c r="C495" s="34" t="s">
        <v>613</v>
      </c>
      <c r="D495" s="4" t="s">
        <v>576</v>
      </c>
      <c r="E495" s="8" t="s">
        <v>47</v>
      </c>
      <c r="G495" s="35">
        <v>44803</v>
      </c>
      <c r="H495" s="38" t="s">
        <v>607</v>
      </c>
      <c r="I495" s="36" t="s">
        <v>578</v>
      </c>
      <c r="J495" s="43">
        <v>44910</v>
      </c>
      <c r="K495" s="36" t="s">
        <v>579</v>
      </c>
      <c r="L495" s="16" t="s">
        <v>317</v>
      </c>
      <c r="M495" s="35">
        <v>45029</v>
      </c>
      <c r="N495" s="4"/>
      <c r="O495" s="8" t="s">
        <v>47</v>
      </c>
      <c r="P495" s="35">
        <v>45031</v>
      </c>
      <c r="Q495" s="4"/>
      <c r="R495" s="35">
        <v>45034</v>
      </c>
      <c r="S495" s="4"/>
      <c r="T495" s="35">
        <v>45036</v>
      </c>
      <c r="U495" s="4"/>
      <c r="V495" s="4"/>
      <c r="W495" s="17">
        <v>45073</v>
      </c>
      <c r="X495" s="4"/>
      <c r="Y495" s="4"/>
      <c r="Z495" s="17">
        <v>45077</v>
      </c>
      <c r="AA495" s="4"/>
      <c r="AB495" s="4"/>
      <c r="AC495" s="4"/>
      <c r="AD495" s="4"/>
      <c r="AE495" s="4"/>
      <c r="AF495" s="4"/>
    </row>
    <row r="496" spans="1:32" ht="30" hidden="1">
      <c r="A496" s="4">
        <v>491</v>
      </c>
      <c r="B496" s="34" t="s">
        <v>614</v>
      </c>
      <c r="C496" s="34" t="s">
        <v>615</v>
      </c>
      <c r="D496" s="4" t="s">
        <v>576</v>
      </c>
      <c r="E496" s="8" t="s">
        <v>47</v>
      </c>
      <c r="G496" s="35">
        <v>44803</v>
      </c>
      <c r="H496" s="36" t="s">
        <v>577</v>
      </c>
      <c r="I496" s="36" t="s">
        <v>578</v>
      </c>
      <c r="J496" s="43">
        <v>44910</v>
      </c>
      <c r="K496" s="36" t="s">
        <v>579</v>
      </c>
      <c r="L496" s="16" t="s">
        <v>317</v>
      </c>
      <c r="M496" s="35">
        <v>45029</v>
      </c>
      <c r="N496" s="4"/>
      <c r="O496" s="8" t="s">
        <v>47</v>
      </c>
      <c r="P496" s="35">
        <v>45031</v>
      </c>
      <c r="Q496" s="4"/>
      <c r="R496" s="35">
        <v>45034</v>
      </c>
      <c r="S496" s="4"/>
      <c r="T496" s="35">
        <v>45036</v>
      </c>
      <c r="U496" s="4"/>
      <c r="V496" s="4"/>
      <c r="W496" s="17">
        <v>45073</v>
      </c>
      <c r="X496" s="4"/>
      <c r="Y496" s="4"/>
      <c r="Z496" s="17">
        <v>45077</v>
      </c>
      <c r="AA496" s="4"/>
      <c r="AB496" s="4"/>
      <c r="AC496" s="4"/>
      <c r="AD496" s="4"/>
      <c r="AE496" s="4"/>
      <c r="AF496" s="4"/>
    </row>
    <row r="497" spans="1:32" ht="102" hidden="1">
      <c r="A497" s="4">
        <v>492</v>
      </c>
      <c r="B497" s="34" t="s">
        <v>616</v>
      </c>
      <c r="C497" s="34" t="s">
        <v>617</v>
      </c>
      <c r="D497" s="4" t="s">
        <v>576</v>
      </c>
      <c r="E497" s="8" t="s">
        <v>47</v>
      </c>
      <c r="G497" s="35">
        <v>44803</v>
      </c>
      <c r="H497" s="38" t="s">
        <v>618</v>
      </c>
      <c r="I497" s="36" t="s">
        <v>578</v>
      </c>
      <c r="J497" s="43">
        <v>45015</v>
      </c>
      <c r="K497" s="36" t="s">
        <v>579</v>
      </c>
      <c r="L497" s="16" t="s">
        <v>317</v>
      </c>
      <c r="M497" s="35">
        <v>45031</v>
      </c>
      <c r="N497" s="4"/>
      <c r="O497" s="8" t="s">
        <v>47</v>
      </c>
      <c r="P497" s="35">
        <v>45036</v>
      </c>
      <c r="Q497" s="4"/>
      <c r="R497" s="35">
        <v>45038</v>
      </c>
      <c r="S497" s="4"/>
      <c r="T497" s="35">
        <v>45040</v>
      </c>
      <c r="U497" s="4"/>
      <c r="V497" s="4"/>
      <c r="W497" s="17">
        <v>45073</v>
      </c>
      <c r="X497" s="4"/>
      <c r="Y497" s="4"/>
      <c r="Z497" s="17">
        <v>45077</v>
      </c>
      <c r="AA497" s="4"/>
      <c r="AB497" s="4"/>
      <c r="AC497" s="4"/>
      <c r="AD497" s="4"/>
      <c r="AE497" s="4"/>
      <c r="AF497" s="4"/>
    </row>
    <row r="498" spans="1:32" ht="85" hidden="1">
      <c r="A498" s="4">
        <v>493</v>
      </c>
      <c r="B498" s="39" t="s">
        <v>619</v>
      </c>
      <c r="C498" s="39" t="s">
        <v>620</v>
      </c>
      <c r="D498" s="4" t="s">
        <v>576</v>
      </c>
      <c r="E498" s="8" t="s">
        <v>47</v>
      </c>
      <c r="G498" s="35">
        <v>44803</v>
      </c>
      <c r="H498" s="38" t="s">
        <v>621</v>
      </c>
      <c r="I498" s="36" t="s">
        <v>578</v>
      </c>
      <c r="J498" s="43">
        <v>45015</v>
      </c>
      <c r="K498" s="36" t="s">
        <v>579</v>
      </c>
      <c r="L498" s="16" t="s">
        <v>317</v>
      </c>
      <c r="M498" s="35">
        <v>45031</v>
      </c>
      <c r="N498" s="4"/>
      <c r="O498" s="8" t="s">
        <v>47</v>
      </c>
      <c r="P498" s="35">
        <v>45036</v>
      </c>
      <c r="Q498" s="4"/>
      <c r="R498" s="35">
        <v>45038</v>
      </c>
      <c r="S498" s="4"/>
      <c r="T498" s="35">
        <v>45040</v>
      </c>
      <c r="U498" s="4"/>
      <c r="V498" s="4"/>
      <c r="W498" s="17">
        <v>45073</v>
      </c>
      <c r="X498" s="4"/>
      <c r="Y498" s="4"/>
      <c r="Z498" s="17">
        <v>45077</v>
      </c>
      <c r="AA498" s="4"/>
      <c r="AB498" s="4"/>
      <c r="AC498" s="4"/>
      <c r="AD498" s="4"/>
      <c r="AE498" s="4"/>
      <c r="AF498" s="4"/>
    </row>
    <row r="499" spans="1:32" ht="68" hidden="1">
      <c r="A499" s="4">
        <v>494</v>
      </c>
      <c r="B499" s="34" t="s">
        <v>622</v>
      </c>
      <c r="C499" s="34" t="s">
        <v>623</v>
      </c>
      <c r="D499" s="4" t="s">
        <v>576</v>
      </c>
      <c r="E499" s="8" t="s">
        <v>47</v>
      </c>
      <c r="G499" s="35">
        <v>44803</v>
      </c>
      <c r="H499" s="36" t="s">
        <v>577</v>
      </c>
      <c r="I499" s="36" t="s">
        <v>578</v>
      </c>
      <c r="J499" s="43">
        <v>44910</v>
      </c>
      <c r="K499" s="36" t="s">
        <v>579</v>
      </c>
      <c r="L499" s="16" t="s">
        <v>317</v>
      </c>
      <c r="M499" s="35">
        <v>45027</v>
      </c>
      <c r="N499" s="4"/>
      <c r="O499" s="8" t="s">
        <v>47</v>
      </c>
      <c r="P499" s="35">
        <v>45029</v>
      </c>
      <c r="Q499" s="4"/>
      <c r="R499" s="35">
        <v>45031</v>
      </c>
      <c r="S499" s="4"/>
      <c r="T499" s="35">
        <v>45033</v>
      </c>
      <c r="U499" s="4"/>
      <c r="V499" s="4"/>
      <c r="W499" s="17">
        <v>45073</v>
      </c>
      <c r="X499" s="4"/>
      <c r="Y499" s="4"/>
      <c r="Z499" s="17">
        <v>45077</v>
      </c>
      <c r="AA499" s="4"/>
      <c r="AB499" s="4"/>
      <c r="AC499" s="4"/>
      <c r="AD499" s="4"/>
      <c r="AE499" s="4"/>
      <c r="AF499" s="4"/>
    </row>
    <row r="500" spans="1:32" ht="30" hidden="1">
      <c r="A500" s="4">
        <v>495</v>
      </c>
      <c r="B500" s="34" t="s">
        <v>624</v>
      </c>
      <c r="C500" s="34" t="s">
        <v>625</v>
      </c>
      <c r="D500" s="4" t="s">
        <v>576</v>
      </c>
      <c r="E500" s="8" t="s">
        <v>47</v>
      </c>
      <c r="G500" s="35">
        <v>44803</v>
      </c>
      <c r="H500" s="36" t="s">
        <v>577</v>
      </c>
      <c r="I500" s="36" t="s">
        <v>578</v>
      </c>
      <c r="J500" s="43">
        <v>44910</v>
      </c>
      <c r="K500" s="36" t="s">
        <v>579</v>
      </c>
      <c r="L500" s="16" t="s">
        <v>317</v>
      </c>
      <c r="M500" s="35">
        <v>45027</v>
      </c>
      <c r="N500" s="4"/>
      <c r="O500" s="8" t="s">
        <v>47</v>
      </c>
      <c r="P500" s="35">
        <v>45029</v>
      </c>
      <c r="Q500" s="4"/>
      <c r="R500" s="35">
        <v>45031</v>
      </c>
      <c r="S500" s="4"/>
      <c r="T500" s="35">
        <v>45033</v>
      </c>
      <c r="U500" s="4"/>
      <c r="V500" s="4"/>
      <c r="W500" s="17">
        <v>45073</v>
      </c>
      <c r="X500" s="4"/>
      <c r="Y500" s="4"/>
      <c r="Z500" s="17">
        <v>45077</v>
      </c>
      <c r="AA500" s="4"/>
      <c r="AB500" s="4"/>
      <c r="AC500" s="4"/>
      <c r="AD500" s="4"/>
      <c r="AE500" s="4"/>
      <c r="AF500" s="4"/>
    </row>
    <row r="501" spans="1:32" ht="30" hidden="1">
      <c r="A501" s="4">
        <v>496</v>
      </c>
      <c r="B501" s="39" t="s">
        <v>626</v>
      </c>
      <c r="C501" s="39" t="s">
        <v>626</v>
      </c>
      <c r="D501" s="4" t="s">
        <v>576</v>
      </c>
      <c r="E501" s="8" t="s">
        <v>47</v>
      </c>
      <c r="G501" s="35">
        <v>44803</v>
      </c>
      <c r="H501" s="38" t="s">
        <v>627</v>
      </c>
      <c r="I501" s="36" t="s">
        <v>578</v>
      </c>
      <c r="J501" s="43">
        <v>45036</v>
      </c>
      <c r="K501" s="38" t="s">
        <v>627</v>
      </c>
      <c r="L501" s="16" t="s">
        <v>317</v>
      </c>
      <c r="M501" s="35"/>
      <c r="N501" s="4"/>
      <c r="O501" s="8" t="s">
        <v>47</v>
      </c>
      <c r="P501" s="4"/>
      <c r="Q501" s="4"/>
      <c r="R501" s="4"/>
      <c r="S501" s="4"/>
      <c r="T501" s="4"/>
      <c r="U501" s="4"/>
      <c r="V501" s="4"/>
      <c r="W501" s="17">
        <v>45073</v>
      </c>
      <c r="X501" s="4"/>
      <c r="Y501" s="4"/>
      <c r="Z501" s="17">
        <v>45077</v>
      </c>
      <c r="AA501" s="4"/>
      <c r="AB501" s="4"/>
      <c r="AC501" s="4"/>
      <c r="AD501" s="4"/>
      <c r="AE501" s="4"/>
      <c r="AF501" s="4"/>
    </row>
    <row r="502" spans="1:32" ht="34" hidden="1">
      <c r="A502" s="4">
        <v>497</v>
      </c>
      <c r="B502" s="34" t="s">
        <v>628</v>
      </c>
      <c r="C502" s="34" t="s">
        <v>629</v>
      </c>
      <c r="D502" s="4" t="s">
        <v>576</v>
      </c>
      <c r="E502" s="8" t="s">
        <v>47</v>
      </c>
      <c r="G502" s="35">
        <v>44803</v>
      </c>
      <c r="H502" s="36" t="s">
        <v>577</v>
      </c>
      <c r="I502" s="36" t="s">
        <v>578</v>
      </c>
      <c r="J502" s="43">
        <v>44988</v>
      </c>
      <c r="K502" s="36" t="s">
        <v>579</v>
      </c>
      <c r="L502" s="16" t="s">
        <v>317</v>
      </c>
      <c r="M502" s="35">
        <v>45027</v>
      </c>
      <c r="N502" s="4"/>
      <c r="O502" s="8" t="s">
        <v>47</v>
      </c>
      <c r="P502" s="35">
        <v>45029</v>
      </c>
      <c r="Q502" s="4"/>
      <c r="R502" s="35">
        <v>45031</v>
      </c>
      <c r="S502" s="4"/>
      <c r="T502" s="35">
        <v>45033</v>
      </c>
      <c r="U502" s="4"/>
      <c r="V502" s="4"/>
      <c r="W502" s="17">
        <v>45073</v>
      </c>
      <c r="X502" s="4"/>
      <c r="Y502" s="4"/>
      <c r="Z502" s="17">
        <v>45077</v>
      </c>
      <c r="AA502" s="4"/>
      <c r="AB502" s="4"/>
      <c r="AC502" s="4"/>
      <c r="AD502" s="4"/>
      <c r="AE502" s="4"/>
      <c r="AF502" s="4"/>
    </row>
    <row r="503" spans="1:32" ht="102" hidden="1">
      <c r="A503" s="4">
        <v>498</v>
      </c>
      <c r="B503" s="39" t="s">
        <v>630</v>
      </c>
      <c r="C503" s="39" t="s">
        <v>631</v>
      </c>
      <c r="D503" s="4" t="s">
        <v>576</v>
      </c>
      <c r="E503" s="8" t="s">
        <v>47</v>
      </c>
      <c r="G503" s="35">
        <v>44803</v>
      </c>
      <c r="H503" s="38" t="s">
        <v>627</v>
      </c>
      <c r="I503" s="36" t="s">
        <v>578</v>
      </c>
      <c r="J503" s="43">
        <v>45036</v>
      </c>
      <c r="K503" s="38" t="s">
        <v>627</v>
      </c>
      <c r="L503" s="16" t="s">
        <v>317</v>
      </c>
      <c r="M503" s="43">
        <v>45040</v>
      </c>
      <c r="N503" s="4"/>
      <c r="O503" s="8" t="s">
        <v>47</v>
      </c>
      <c r="P503" s="43">
        <v>45042</v>
      </c>
      <c r="Q503" s="4"/>
      <c r="R503" s="43">
        <v>45044</v>
      </c>
      <c r="S503" s="4"/>
      <c r="T503" s="43">
        <v>45050</v>
      </c>
      <c r="U503" s="4"/>
      <c r="V503" s="4"/>
      <c r="W503" s="17">
        <v>45073</v>
      </c>
      <c r="X503" s="4"/>
      <c r="Y503" s="4"/>
      <c r="Z503" s="17">
        <v>45077</v>
      </c>
      <c r="AA503" s="4"/>
      <c r="AB503" s="4"/>
      <c r="AC503" s="4"/>
      <c r="AD503" s="4"/>
      <c r="AE503" s="4"/>
      <c r="AF503" s="4"/>
    </row>
    <row r="504" spans="1:32" ht="17" hidden="1">
      <c r="A504" s="4">
        <v>499</v>
      </c>
      <c r="B504" s="40" t="s">
        <v>447</v>
      </c>
      <c r="C504" s="39"/>
      <c r="E504" s="8" t="s">
        <v>47</v>
      </c>
      <c r="G504" s="35"/>
      <c r="H504" s="38"/>
      <c r="I504" s="36"/>
      <c r="J504" s="43"/>
      <c r="K504" s="38"/>
      <c r="L504" s="16"/>
      <c r="M504" s="35"/>
      <c r="N504" s="4"/>
      <c r="O504" s="8" t="s">
        <v>47</v>
      </c>
      <c r="P504" s="4"/>
      <c r="Q504" s="4"/>
      <c r="R504" s="4"/>
      <c r="S504" s="4"/>
      <c r="T504" s="4"/>
      <c r="U504" s="4"/>
      <c r="V504" s="4"/>
      <c r="W504" s="17">
        <v>45073</v>
      </c>
      <c r="X504" s="4"/>
      <c r="Y504" s="4"/>
      <c r="Z504" s="17"/>
      <c r="AA504" s="4"/>
      <c r="AB504" s="4"/>
      <c r="AC504" s="4"/>
      <c r="AD504" s="4"/>
      <c r="AE504" s="4"/>
      <c r="AF504" s="4"/>
    </row>
    <row r="505" spans="1:32" ht="30" hidden="1">
      <c r="A505" s="4">
        <v>500</v>
      </c>
      <c r="B505" s="34" t="s">
        <v>632</v>
      </c>
      <c r="C505" s="34" t="s">
        <v>633</v>
      </c>
      <c r="D505" s="4" t="s">
        <v>576</v>
      </c>
      <c r="E505" s="8" t="s">
        <v>47</v>
      </c>
      <c r="G505" s="35">
        <v>44803</v>
      </c>
      <c r="H505" s="36" t="s">
        <v>577</v>
      </c>
      <c r="I505" s="36" t="s">
        <v>578</v>
      </c>
      <c r="J505" s="43">
        <v>44910</v>
      </c>
      <c r="K505" s="36" t="s">
        <v>579</v>
      </c>
      <c r="L505" s="16" t="s">
        <v>317</v>
      </c>
      <c r="M505" s="35">
        <v>45027</v>
      </c>
      <c r="N505" s="4"/>
      <c r="O505" s="8" t="s">
        <v>47</v>
      </c>
      <c r="P505" s="35">
        <v>45029</v>
      </c>
      <c r="Q505" s="4"/>
      <c r="R505" s="35">
        <v>45031</v>
      </c>
      <c r="S505" s="4"/>
      <c r="T505" s="35">
        <v>45033</v>
      </c>
      <c r="U505" s="4"/>
      <c r="V505" s="4"/>
      <c r="W505" s="17">
        <v>45073</v>
      </c>
      <c r="X505" s="4"/>
      <c r="Y505" s="4"/>
      <c r="Z505" s="17">
        <v>45077</v>
      </c>
      <c r="AA505" s="4"/>
      <c r="AB505" s="4"/>
      <c r="AC505" s="4"/>
      <c r="AD505" s="4"/>
      <c r="AE505" s="4"/>
      <c r="AF505" s="4"/>
    </row>
    <row r="506" spans="1:32" ht="34" hidden="1">
      <c r="A506" s="4">
        <v>501</v>
      </c>
      <c r="B506" s="34" t="s">
        <v>634</v>
      </c>
      <c r="C506" s="34" t="s">
        <v>635</v>
      </c>
      <c r="D506" s="4" t="s">
        <v>576</v>
      </c>
      <c r="E506" s="8" t="s">
        <v>47</v>
      </c>
      <c r="G506" s="35">
        <v>44803</v>
      </c>
      <c r="H506" s="38" t="s">
        <v>636</v>
      </c>
      <c r="I506" s="36" t="s">
        <v>578</v>
      </c>
      <c r="J506" s="43">
        <v>44910</v>
      </c>
      <c r="K506" s="36" t="s">
        <v>579</v>
      </c>
      <c r="L506" s="16" t="s">
        <v>317</v>
      </c>
      <c r="M506" s="35">
        <v>45027</v>
      </c>
      <c r="N506" s="4"/>
      <c r="O506" s="8" t="s">
        <v>47</v>
      </c>
      <c r="P506" s="35">
        <v>45029</v>
      </c>
      <c r="Q506" s="4"/>
      <c r="R506" s="35">
        <v>45031</v>
      </c>
      <c r="S506" s="4"/>
      <c r="T506" s="35">
        <v>45033</v>
      </c>
      <c r="U506" s="4"/>
      <c r="V506" s="4"/>
      <c r="W506" s="17">
        <v>45073</v>
      </c>
      <c r="X506" s="4"/>
      <c r="Y506" s="4"/>
      <c r="Z506" s="17">
        <v>45077</v>
      </c>
      <c r="AA506" s="4"/>
      <c r="AB506" s="4"/>
      <c r="AC506" s="4"/>
      <c r="AD506" s="4"/>
      <c r="AE506" s="4"/>
      <c r="AF506" s="4"/>
    </row>
    <row r="507" spans="1:32" ht="136" hidden="1">
      <c r="A507" s="4">
        <v>502</v>
      </c>
      <c r="B507" s="37" t="s">
        <v>637</v>
      </c>
      <c r="C507" s="39" t="s">
        <v>638</v>
      </c>
      <c r="D507" s="4" t="s">
        <v>576</v>
      </c>
      <c r="E507" s="8" t="s">
        <v>47</v>
      </c>
      <c r="G507" s="35">
        <v>44803</v>
      </c>
      <c r="H507" s="38" t="s">
        <v>621</v>
      </c>
      <c r="I507" s="36" t="s">
        <v>578</v>
      </c>
      <c r="J507" s="43">
        <v>45015</v>
      </c>
      <c r="K507" s="36" t="s">
        <v>579</v>
      </c>
      <c r="L507" s="16" t="s">
        <v>317</v>
      </c>
      <c r="M507" s="35">
        <v>45029</v>
      </c>
      <c r="N507" s="4"/>
      <c r="O507" s="8" t="s">
        <v>47</v>
      </c>
      <c r="P507" s="35">
        <v>45031</v>
      </c>
      <c r="Q507" s="4"/>
      <c r="R507" s="35">
        <v>45034</v>
      </c>
      <c r="S507" s="4"/>
      <c r="T507" s="35">
        <v>45036</v>
      </c>
      <c r="U507" s="4"/>
      <c r="V507" s="4"/>
      <c r="W507" s="17">
        <v>45073</v>
      </c>
      <c r="X507" s="4"/>
      <c r="Y507" s="4"/>
      <c r="Z507" s="17">
        <v>45077</v>
      </c>
      <c r="AA507" s="4"/>
      <c r="AB507" s="4"/>
      <c r="AC507" s="4"/>
      <c r="AD507" s="4"/>
      <c r="AE507" s="4"/>
      <c r="AF507" s="4"/>
    </row>
    <row r="508" spans="1:32" ht="51" hidden="1">
      <c r="A508" s="4">
        <v>503</v>
      </c>
      <c r="B508" s="34" t="s">
        <v>639</v>
      </c>
      <c r="C508" s="34" t="s">
        <v>640</v>
      </c>
      <c r="D508" s="4" t="s">
        <v>576</v>
      </c>
      <c r="E508" s="8" t="s">
        <v>47</v>
      </c>
      <c r="G508" s="35">
        <v>44803</v>
      </c>
      <c r="H508" s="38" t="s">
        <v>627</v>
      </c>
      <c r="I508" s="36" t="s">
        <v>578</v>
      </c>
      <c r="J508" s="43">
        <v>44988</v>
      </c>
      <c r="K508" s="36" t="s">
        <v>579</v>
      </c>
      <c r="L508" s="16" t="s">
        <v>317</v>
      </c>
      <c r="M508" s="35">
        <v>45029</v>
      </c>
      <c r="N508" s="4"/>
      <c r="O508" s="8" t="s">
        <v>47</v>
      </c>
      <c r="P508" s="35">
        <v>45031</v>
      </c>
      <c r="Q508" s="4"/>
      <c r="R508" s="35">
        <v>45034</v>
      </c>
      <c r="S508" s="4"/>
      <c r="T508" s="35">
        <v>45036</v>
      </c>
      <c r="U508" s="4"/>
      <c r="V508" s="4"/>
      <c r="W508" s="17">
        <v>45073</v>
      </c>
      <c r="X508" s="4"/>
      <c r="Y508" s="4"/>
      <c r="Z508" s="17">
        <v>45077</v>
      </c>
      <c r="AA508" s="4"/>
      <c r="AB508" s="4"/>
      <c r="AC508" s="4"/>
      <c r="AD508" s="4"/>
      <c r="AE508" s="4"/>
      <c r="AF508" s="4"/>
    </row>
    <row r="509" spans="1:32" ht="68" hidden="1">
      <c r="A509" s="4">
        <v>504</v>
      </c>
      <c r="B509" s="39" t="s">
        <v>641</v>
      </c>
      <c r="C509" s="39" t="s">
        <v>642</v>
      </c>
      <c r="D509" s="4" t="s">
        <v>576</v>
      </c>
      <c r="E509" s="8" t="s">
        <v>47</v>
      </c>
      <c r="G509" s="35">
        <v>44988</v>
      </c>
      <c r="H509" s="38"/>
      <c r="I509" s="36" t="s">
        <v>578</v>
      </c>
      <c r="J509" s="38"/>
      <c r="K509" s="38"/>
      <c r="L509" s="16" t="s">
        <v>317</v>
      </c>
      <c r="M509" s="38"/>
      <c r="N509" s="4"/>
      <c r="O509" s="8" t="s">
        <v>47</v>
      </c>
      <c r="P509" s="4"/>
      <c r="Q509" s="4"/>
      <c r="R509" s="4"/>
      <c r="S509" s="4"/>
      <c r="T509" s="4"/>
      <c r="U509" s="4"/>
      <c r="V509" s="4"/>
      <c r="W509" s="17">
        <v>45073</v>
      </c>
      <c r="X509" s="4"/>
      <c r="Y509" s="4"/>
      <c r="Z509" s="17">
        <v>45077</v>
      </c>
      <c r="AA509" s="4"/>
      <c r="AB509" s="4"/>
      <c r="AC509" s="4"/>
      <c r="AD509" s="4"/>
      <c r="AE509" s="4"/>
      <c r="AF509" s="4"/>
    </row>
    <row r="510" spans="1:32" ht="68" hidden="1">
      <c r="A510" s="4">
        <v>505</v>
      </c>
      <c r="B510" s="34" t="s">
        <v>643</v>
      </c>
      <c r="C510" s="34" t="s">
        <v>644</v>
      </c>
      <c r="D510" s="4" t="s">
        <v>576</v>
      </c>
      <c r="E510" s="8" t="s">
        <v>47</v>
      </c>
      <c r="G510" s="35">
        <v>44803</v>
      </c>
      <c r="H510" s="36" t="s">
        <v>577</v>
      </c>
      <c r="I510" s="36" t="s">
        <v>578</v>
      </c>
      <c r="J510" s="43">
        <v>44960</v>
      </c>
      <c r="K510" s="36" t="s">
        <v>579</v>
      </c>
      <c r="L510" s="16" t="s">
        <v>317</v>
      </c>
      <c r="M510" s="35">
        <v>45029</v>
      </c>
      <c r="N510" s="4"/>
      <c r="O510" s="8" t="s">
        <v>47</v>
      </c>
      <c r="P510" s="35">
        <v>45031</v>
      </c>
      <c r="Q510" s="4"/>
      <c r="R510" s="35">
        <v>45034</v>
      </c>
      <c r="S510" s="4"/>
      <c r="T510" s="35">
        <v>45036</v>
      </c>
      <c r="U510" s="4"/>
      <c r="V510" s="4"/>
      <c r="W510" s="17">
        <v>45073</v>
      </c>
      <c r="X510" s="4"/>
      <c r="Y510" s="4"/>
      <c r="Z510" s="17">
        <v>45077</v>
      </c>
      <c r="AA510" s="4"/>
      <c r="AB510" s="4"/>
      <c r="AC510" s="4"/>
      <c r="AD510" s="4"/>
      <c r="AE510" s="4"/>
      <c r="AF510" s="4"/>
    </row>
    <row r="511" spans="1:32" ht="30" hidden="1">
      <c r="A511" s="4">
        <v>506</v>
      </c>
      <c r="B511" s="37" t="s">
        <v>645</v>
      </c>
      <c r="C511" s="41" t="s">
        <v>646</v>
      </c>
      <c r="D511" s="4" t="s">
        <v>576</v>
      </c>
      <c r="E511" s="8" t="s">
        <v>47</v>
      </c>
      <c r="G511" s="35">
        <v>44803</v>
      </c>
      <c r="H511" s="36" t="s">
        <v>577</v>
      </c>
      <c r="I511" s="36" t="s">
        <v>578</v>
      </c>
      <c r="J511" s="43">
        <v>44960</v>
      </c>
      <c r="K511" s="36" t="s">
        <v>579</v>
      </c>
      <c r="L511" s="16" t="s">
        <v>317</v>
      </c>
      <c r="M511" s="35">
        <v>45031</v>
      </c>
      <c r="N511" s="4"/>
      <c r="O511" s="8" t="s">
        <v>47</v>
      </c>
      <c r="P511" s="35">
        <v>45036</v>
      </c>
      <c r="Q511" s="4"/>
      <c r="R511" s="35">
        <v>45038</v>
      </c>
      <c r="S511" s="4"/>
      <c r="T511" s="35">
        <v>45040</v>
      </c>
      <c r="U511" s="4"/>
      <c r="V511" s="4"/>
      <c r="W511" s="17">
        <v>45073</v>
      </c>
      <c r="X511" s="4"/>
      <c r="Y511" s="4"/>
      <c r="Z511" s="17">
        <v>45077</v>
      </c>
      <c r="AA511" s="4"/>
      <c r="AB511" s="4"/>
      <c r="AC511" s="4"/>
      <c r="AD511" s="4"/>
      <c r="AE511" s="4"/>
      <c r="AF511" s="4"/>
    </row>
    <row r="512" spans="1:32" ht="51" hidden="1">
      <c r="A512" s="4">
        <v>507</v>
      </c>
      <c r="B512" s="37" t="s">
        <v>647</v>
      </c>
      <c r="C512" s="37" t="s">
        <v>648</v>
      </c>
      <c r="D512" s="4" t="s">
        <v>576</v>
      </c>
      <c r="E512" s="8" t="s">
        <v>47</v>
      </c>
      <c r="G512" s="35">
        <v>44988</v>
      </c>
      <c r="H512" s="42"/>
      <c r="I512" s="36" t="s">
        <v>578</v>
      </c>
      <c r="J512" s="43">
        <v>45015</v>
      </c>
      <c r="K512" s="36" t="s">
        <v>579</v>
      </c>
      <c r="L512" s="16" t="s">
        <v>317</v>
      </c>
      <c r="M512" s="35">
        <v>45031</v>
      </c>
      <c r="N512" s="4"/>
      <c r="O512" s="8" t="s">
        <v>47</v>
      </c>
      <c r="P512" s="35">
        <v>45036</v>
      </c>
      <c r="Q512" s="4"/>
      <c r="R512" s="35">
        <v>45038</v>
      </c>
      <c r="S512" s="4"/>
      <c r="T512" s="35">
        <v>45040</v>
      </c>
      <c r="U512" s="4"/>
      <c r="V512" s="4"/>
      <c r="W512" s="17">
        <v>45073</v>
      </c>
      <c r="X512" s="4"/>
      <c r="Y512" s="4"/>
      <c r="Z512" s="17">
        <v>45077</v>
      </c>
      <c r="AA512" s="4"/>
      <c r="AB512" s="4"/>
      <c r="AC512" s="4"/>
      <c r="AD512" s="4"/>
      <c r="AE512" s="4"/>
      <c r="AF512" s="4"/>
    </row>
    <row r="513" spans="1:32" ht="30" hidden="1">
      <c r="A513" s="4">
        <v>508</v>
      </c>
      <c r="B513" s="37" t="s">
        <v>649</v>
      </c>
      <c r="C513" s="37" t="s">
        <v>650</v>
      </c>
      <c r="D513" s="4" t="s">
        <v>576</v>
      </c>
      <c r="E513" s="8" t="s">
        <v>47</v>
      </c>
      <c r="G513" s="35">
        <v>44988</v>
      </c>
      <c r="H513" s="45"/>
      <c r="I513" s="36" t="s">
        <v>578</v>
      </c>
      <c r="J513" s="43">
        <v>45015</v>
      </c>
      <c r="K513" s="36" t="s">
        <v>579</v>
      </c>
      <c r="L513" s="16" t="s">
        <v>317</v>
      </c>
      <c r="M513" s="35">
        <v>45031</v>
      </c>
      <c r="N513" s="4"/>
      <c r="O513" s="8" t="s">
        <v>47</v>
      </c>
      <c r="P513" s="35">
        <v>45036</v>
      </c>
      <c r="Q513" s="4"/>
      <c r="R513" s="35">
        <v>45038</v>
      </c>
      <c r="S513" s="4"/>
      <c r="T513" s="35">
        <v>45040</v>
      </c>
      <c r="U513" s="4"/>
      <c r="V513" s="4"/>
      <c r="W513" s="17">
        <v>45073</v>
      </c>
      <c r="X513" s="4"/>
      <c r="Y513" s="4"/>
      <c r="Z513" s="17">
        <v>45077</v>
      </c>
      <c r="AA513" s="4"/>
      <c r="AB513" s="4"/>
      <c r="AC513" s="4"/>
      <c r="AD513" s="4"/>
      <c r="AE513" s="4"/>
      <c r="AF513" s="4"/>
    </row>
    <row r="514" spans="1:32" ht="34" hidden="1">
      <c r="A514" s="4">
        <v>509</v>
      </c>
      <c r="B514" s="34" t="s">
        <v>651</v>
      </c>
      <c r="C514" s="34" t="s">
        <v>652</v>
      </c>
      <c r="D514" s="4" t="s">
        <v>576</v>
      </c>
      <c r="E514" s="8" t="s">
        <v>47</v>
      </c>
      <c r="G514" s="35">
        <v>44803</v>
      </c>
      <c r="H514" s="36" t="s">
        <v>577</v>
      </c>
      <c r="I514" s="36" t="s">
        <v>578</v>
      </c>
      <c r="J514" s="43">
        <v>44960</v>
      </c>
      <c r="K514" s="36" t="s">
        <v>579</v>
      </c>
      <c r="L514" s="16" t="s">
        <v>317</v>
      </c>
      <c r="M514" s="35">
        <v>45029</v>
      </c>
      <c r="N514" s="4"/>
      <c r="O514" s="8" t="s">
        <v>47</v>
      </c>
      <c r="P514" s="35">
        <v>45031</v>
      </c>
      <c r="Q514" s="4"/>
      <c r="R514" s="35">
        <v>45034</v>
      </c>
      <c r="S514" s="4"/>
      <c r="T514" s="35">
        <v>45036</v>
      </c>
      <c r="U514" s="4"/>
      <c r="V514" s="4"/>
      <c r="W514" s="17">
        <v>45073</v>
      </c>
      <c r="X514" s="4"/>
      <c r="Y514" s="4"/>
      <c r="Z514" s="17">
        <v>45077</v>
      </c>
      <c r="AA514" s="4"/>
      <c r="AB514" s="4"/>
      <c r="AC514" s="4"/>
      <c r="AD514" s="4"/>
      <c r="AE514" s="4"/>
      <c r="AF514" s="4"/>
    </row>
    <row r="515" spans="1:32" ht="17" hidden="1">
      <c r="A515" s="4">
        <v>510</v>
      </c>
      <c r="B515" s="40" t="s">
        <v>653</v>
      </c>
      <c r="C515" s="34"/>
      <c r="E515" s="8" t="s">
        <v>47</v>
      </c>
      <c r="G515" s="35"/>
      <c r="H515" s="36"/>
      <c r="I515" s="36"/>
      <c r="J515" s="43"/>
      <c r="K515" s="36"/>
      <c r="L515" s="16"/>
      <c r="M515" s="35"/>
      <c r="N515" s="4"/>
      <c r="O515" s="8" t="s">
        <v>47</v>
      </c>
      <c r="P515" s="4"/>
      <c r="Q515" s="4"/>
      <c r="R515" s="4"/>
      <c r="S515" s="4"/>
      <c r="T515" s="4"/>
      <c r="U515" s="4"/>
      <c r="V515" s="4"/>
      <c r="W515" s="17">
        <v>45073</v>
      </c>
      <c r="X515" s="4"/>
      <c r="Y515" s="4"/>
      <c r="Z515" s="17"/>
      <c r="AA515" s="4"/>
      <c r="AB515" s="4"/>
      <c r="AC515" s="4"/>
      <c r="AD515" s="4"/>
      <c r="AE515" s="4"/>
      <c r="AF515" s="4"/>
    </row>
    <row r="516" spans="1:32" ht="68" hidden="1">
      <c r="A516" s="4">
        <v>511</v>
      </c>
      <c r="B516" s="34" t="s">
        <v>654</v>
      </c>
      <c r="C516" s="34" t="s">
        <v>655</v>
      </c>
      <c r="D516" s="4" t="s">
        <v>576</v>
      </c>
      <c r="E516" s="8" t="s">
        <v>47</v>
      </c>
      <c r="G516" s="35"/>
      <c r="H516" s="36"/>
      <c r="I516" s="36" t="s">
        <v>578</v>
      </c>
      <c r="J516" s="43"/>
      <c r="K516" s="36"/>
      <c r="L516" s="16" t="s">
        <v>317</v>
      </c>
      <c r="M516" s="35"/>
      <c r="N516" s="4"/>
      <c r="O516" s="8" t="s">
        <v>47</v>
      </c>
      <c r="P516" s="4"/>
      <c r="Q516" s="4"/>
      <c r="R516" s="4"/>
      <c r="S516" s="4"/>
      <c r="T516" s="4"/>
      <c r="U516" s="4"/>
      <c r="V516" s="4"/>
      <c r="W516" s="17">
        <v>45073</v>
      </c>
      <c r="X516" s="4"/>
      <c r="Y516" s="4"/>
      <c r="Z516" s="17">
        <v>45077</v>
      </c>
      <c r="AA516" s="4"/>
      <c r="AB516" s="4"/>
      <c r="AC516" s="4"/>
      <c r="AD516" s="4"/>
      <c r="AE516" s="4"/>
      <c r="AF516" s="4"/>
    </row>
    <row r="517" spans="1:32" ht="34" hidden="1">
      <c r="A517" s="4">
        <v>512</v>
      </c>
      <c r="B517" s="34" t="s">
        <v>656</v>
      </c>
      <c r="C517" s="34" t="s">
        <v>657</v>
      </c>
      <c r="D517" s="4" t="s">
        <v>576</v>
      </c>
      <c r="E517" s="8" t="s">
        <v>47</v>
      </c>
      <c r="G517" s="35">
        <v>44803</v>
      </c>
      <c r="H517" s="36" t="s">
        <v>577</v>
      </c>
      <c r="I517" s="36" t="s">
        <v>578</v>
      </c>
      <c r="J517" s="43">
        <v>44960</v>
      </c>
      <c r="K517" s="36" t="s">
        <v>579</v>
      </c>
      <c r="L517" s="16" t="s">
        <v>317</v>
      </c>
      <c r="M517" s="35">
        <v>45027</v>
      </c>
      <c r="N517" s="4"/>
      <c r="O517" s="8" t="s">
        <v>47</v>
      </c>
      <c r="P517" s="35">
        <v>45029</v>
      </c>
      <c r="Q517" s="4"/>
      <c r="R517" s="35">
        <v>45031</v>
      </c>
      <c r="S517" s="4"/>
      <c r="T517" s="35">
        <v>45033</v>
      </c>
      <c r="U517" s="4"/>
      <c r="V517" s="4"/>
      <c r="W517" s="17">
        <v>45073</v>
      </c>
      <c r="X517" s="4"/>
      <c r="Y517" s="4"/>
      <c r="Z517" s="17">
        <v>45077</v>
      </c>
      <c r="AA517" s="4"/>
      <c r="AB517" s="4"/>
      <c r="AC517" s="4"/>
      <c r="AD517" s="4"/>
      <c r="AE517" s="4"/>
      <c r="AF517" s="4"/>
    </row>
    <row r="518" spans="1:32" ht="85" hidden="1">
      <c r="A518" s="4">
        <v>513</v>
      </c>
      <c r="B518" s="34" t="s">
        <v>658</v>
      </c>
      <c r="C518" s="37" t="s">
        <v>659</v>
      </c>
      <c r="D518" s="4" t="s">
        <v>576</v>
      </c>
      <c r="E518" s="8" t="s">
        <v>47</v>
      </c>
      <c r="G518" s="35">
        <v>44803</v>
      </c>
      <c r="H518" s="38"/>
      <c r="I518" s="36" t="s">
        <v>578</v>
      </c>
      <c r="J518" s="43">
        <v>45036</v>
      </c>
      <c r="K518" s="38"/>
      <c r="L518" s="16" t="s">
        <v>317</v>
      </c>
      <c r="M518" s="43">
        <v>45040</v>
      </c>
      <c r="N518" s="4"/>
      <c r="O518" s="8" t="s">
        <v>47</v>
      </c>
      <c r="P518" s="43">
        <v>45042</v>
      </c>
      <c r="Q518" s="4"/>
      <c r="R518" s="43">
        <v>45044</v>
      </c>
      <c r="S518" s="4"/>
      <c r="T518" s="43">
        <v>45050</v>
      </c>
      <c r="U518" s="4"/>
      <c r="V518" s="4"/>
      <c r="W518" s="17">
        <v>45073</v>
      </c>
      <c r="X518" s="4"/>
      <c r="Y518" s="4"/>
      <c r="Z518" s="17">
        <v>45077</v>
      </c>
      <c r="AA518" s="4"/>
      <c r="AB518" s="4"/>
      <c r="AC518" s="4"/>
      <c r="AD518" s="4"/>
      <c r="AE518" s="4"/>
      <c r="AF518" s="4"/>
    </row>
    <row r="519" spans="1:32" ht="30" hidden="1">
      <c r="A519" s="4">
        <v>514</v>
      </c>
      <c r="B519" s="34" t="s">
        <v>660</v>
      </c>
      <c r="C519" s="34" t="s">
        <v>660</v>
      </c>
      <c r="D519" s="4" t="s">
        <v>576</v>
      </c>
      <c r="E519" s="8" t="s">
        <v>47</v>
      </c>
      <c r="G519" s="35">
        <v>44803</v>
      </c>
      <c r="H519" s="36" t="s">
        <v>577</v>
      </c>
      <c r="I519" s="36" t="s">
        <v>578</v>
      </c>
      <c r="J519" s="43">
        <v>44988</v>
      </c>
      <c r="K519" s="36" t="s">
        <v>579</v>
      </c>
      <c r="L519" s="16" t="s">
        <v>317</v>
      </c>
      <c r="M519" s="35">
        <v>45029</v>
      </c>
      <c r="N519" s="4"/>
      <c r="O519" s="8" t="s">
        <v>47</v>
      </c>
      <c r="P519" s="35">
        <v>45031</v>
      </c>
      <c r="Q519" s="4"/>
      <c r="R519" s="35">
        <v>45034</v>
      </c>
      <c r="S519" s="4"/>
      <c r="T519" s="35">
        <v>45036</v>
      </c>
      <c r="U519" s="4"/>
      <c r="V519" s="4"/>
      <c r="W519" s="17">
        <v>45073</v>
      </c>
      <c r="X519" s="4"/>
      <c r="Y519" s="4"/>
      <c r="Z519" s="17">
        <v>45077</v>
      </c>
      <c r="AA519" s="4"/>
      <c r="AB519" s="4"/>
      <c r="AC519" s="4"/>
      <c r="AD519" s="4"/>
      <c r="AE519" s="4"/>
      <c r="AF519" s="4"/>
    </row>
    <row r="520" spans="1:32" ht="51" hidden="1">
      <c r="A520" s="4">
        <v>515</v>
      </c>
      <c r="B520" s="34" t="s">
        <v>661</v>
      </c>
      <c r="C520" s="34" t="s">
        <v>662</v>
      </c>
      <c r="D520" s="4" t="s">
        <v>576</v>
      </c>
      <c r="E520" s="8" t="s">
        <v>47</v>
      </c>
      <c r="G520" s="35"/>
      <c r="H520" s="36"/>
      <c r="I520" s="36" t="s">
        <v>578</v>
      </c>
      <c r="J520" s="43"/>
      <c r="K520" s="36"/>
      <c r="L520" s="16" t="s">
        <v>317</v>
      </c>
      <c r="M520" s="35"/>
      <c r="N520" s="4"/>
      <c r="O520" s="8" t="s">
        <v>47</v>
      </c>
      <c r="P520" s="4"/>
      <c r="Q520" s="4"/>
      <c r="R520" s="4"/>
      <c r="S520" s="4"/>
      <c r="T520" s="4"/>
      <c r="U520" s="4"/>
      <c r="V520" s="4"/>
      <c r="W520" s="17">
        <v>45073</v>
      </c>
      <c r="X520" s="4"/>
      <c r="Y520" s="4"/>
      <c r="Z520" s="17">
        <v>45077</v>
      </c>
      <c r="AA520" s="4"/>
      <c r="AB520" s="4"/>
      <c r="AC520" s="4"/>
      <c r="AD520" s="4"/>
      <c r="AE520" s="4"/>
      <c r="AF520" s="4"/>
    </row>
    <row r="521" spans="1:32" ht="51" hidden="1">
      <c r="A521" s="4">
        <v>516</v>
      </c>
      <c r="B521" s="34" t="s">
        <v>663</v>
      </c>
      <c r="C521" s="34" t="s">
        <v>664</v>
      </c>
      <c r="D521" s="4" t="s">
        <v>576</v>
      </c>
      <c r="E521" s="8" t="s">
        <v>47</v>
      </c>
      <c r="G521" s="35"/>
      <c r="H521" s="36"/>
      <c r="I521" s="36" t="s">
        <v>578</v>
      </c>
      <c r="J521" s="43"/>
      <c r="K521" s="36"/>
      <c r="L521" s="16" t="s">
        <v>317</v>
      </c>
      <c r="M521" s="35"/>
      <c r="N521" s="4"/>
      <c r="O521" s="8" t="s">
        <v>47</v>
      </c>
      <c r="P521" s="4"/>
      <c r="Q521" s="4"/>
      <c r="R521" s="4"/>
      <c r="S521" s="4"/>
      <c r="T521" s="4"/>
      <c r="U521" s="4"/>
      <c r="V521" s="4"/>
      <c r="W521" s="17">
        <v>45073</v>
      </c>
      <c r="X521" s="4"/>
      <c r="Y521" s="4"/>
      <c r="Z521" s="17">
        <v>45077</v>
      </c>
      <c r="AA521" s="4"/>
      <c r="AB521" s="4"/>
      <c r="AC521" s="4"/>
      <c r="AD521" s="4"/>
      <c r="AE521" s="4"/>
      <c r="AF521" s="4"/>
    </row>
    <row r="522" spans="1:32" ht="34" hidden="1">
      <c r="A522" s="4">
        <v>517</v>
      </c>
      <c r="B522" s="34" t="s">
        <v>665</v>
      </c>
      <c r="C522" s="34" t="s">
        <v>666</v>
      </c>
      <c r="D522" s="4" t="s">
        <v>576</v>
      </c>
      <c r="E522" s="8" t="s">
        <v>47</v>
      </c>
      <c r="G522" s="35">
        <v>44803</v>
      </c>
      <c r="H522" s="36" t="s">
        <v>577</v>
      </c>
      <c r="I522" s="36" t="s">
        <v>578</v>
      </c>
      <c r="J522" s="43">
        <v>44988</v>
      </c>
      <c r="K522" s="36" t="s">
        <v>579</v>
      </c>
      <c r="L522" s="16" t="s">
        <v>317</v>
      </c>
      <c r="M522" s="35">
        <v>45029</v>
      </c>
      <c r="N522" s="4"/>
      <c r="O522" s="8" t="s">
        <v>47</v>
      </c>
      <c r="P522" s="35">
        <v>45031</v>
      </c>
      <c r="Q522" s="4"/>
      <c r="R522" s="35">
        <v>45034</v>
      </c>
      <c r="S522" s="4"/>
      <c r="T522" s="35">
        <v>45036</v>
      </c>
      <c r="U522" s="4"/>
      <c r="V522" s="4"/>
      <c r="W522" s="17">
        <v>45073</v>
      </c>
      <c r="X522" s="4"/>
      <c r="Y522" s="4"/>
      <c r="Z522" s="17">
        <v>45077</v>
      </c>
      <c r="AA522" s="4"/>
      <c r="AB522" s="4"/>
      <c r="AC522" s="4"/>
      <c r="AD522" s="4"/>
      <c r="AE522" s="4"/>
      <c r="AF522" s="4"/>
    </row>
    <row r="523" spans="1:32" ht="34" hidden="1">
      <c r="A523" s="4">
        <v>518</v>
      </c>
      <c r="B523" s="34" t="s">
        <v>667</v>
      </c>
      <c r="C523" s="34" t="s">
        <v>668</v>
      </c>
      <c r="D523" s="4" t="s">
        <v>576</v>
      </c>
      <c r="E523" s="8" t="s">
        <v>47</v>
      </c>
      <c r="G523" s="35"/>
      <c r="H523" s="36"/>
      <c r="I523" s="36" t="s">
        <v>578</v>
      </c>
      <c r="J523" s="43"/>
      <c r="K523" s="36"/>
      <c r="L523" s="16" t="s">
        <v>317</v>
      </c>
      <c r="M523" s="35"/>
      <c r="N523" s="4"/>
      <c r="O523" s="8" t="s">
        <v>47</v>
      </c>
      <c r="P523" s="4"/>
      <c r="Q523" s="4"/>
      <c r="R523" s="4"/>
      <c r="S523" s="4"/>
      <c r="T523" s="4"/>
      <c r="U523" s="4"/>
      <c r="V523" s="4"/>
      <c r="W523" s="17">
        <v>45073</v>
      </c>
      <c r="X523" s="4"/>
      <c r="Y523" s="4"/>
      <c r="Z523" s="17">
        <v>45077</v>
      </c>
      <c r="AA523" s="4"/>
      <c r="AB523" s="4"/>
      <c r="AC523" s="4"/>
      <c r="AD523" s="4"/>
      <c r="AE523" s="4"/>
      <c r="AF523" s="4"/>
    </row>
    <row r="524" spans="1:32" ht="30" hidden="1">
      <c r="A524" s="4">
        <v>519</v>
      </c>
      <c r="B524" s="37" t="s">
        <v>669</v>
      </c>
      <c r="C524" s="37" t="s">
        <v>670</v>
      </c>
      <c r="D524" s="4" t="s">
        <v>576</v>
      </c>
      <c r="E524" s="8" t="s">
        <v>47</v>
      </c>
      <c r="G524" s="35">
        <v>44988</v>
      </c>
      <c r="H524" s="38" t="s">
        <v>627</v>
      </c>
      <c r="I524" s="36" t="s">
        <v>578</v>
      </c>
      <c r="J524" s="43">
        <v>45036</v>
      </c>
      <c r="K524" s="38" t="s">
        <v>627</v>
      </c>
      <c r="L524" s="16" t="s">
        <v>317</v>
      </c>
      <c r="M524" s="43">
        <v>45040</v>
      </c>
      <c r="N524" s="4"/>
      <c r="O524" s="8" t="s">
        <v>47</v>
      </c>
      <c r="P524" s="43">
        <v>45042</v>
      </c>
      <c r="Q524" s="4"/>
      <c r="R524" s="43">
        <v>45044</v>
      </c>
      <c r="S524" s="4"/>
      <c r="T524" s="43">
        <v>45050</v>
      </c>
      <c r="U524" s="4"/>
      <c r="V524" s="4"/>
      <c r="W524" s="17">
        <v>45073</v>
      </c>
      <c r="X524" s="4"/>
      <c r="Y524" s="4"/>
      <c r="Z524" s="17">
        <v>45077</v>
      </c>
      <c r="AA524" s="4"/>
      <c r="AB524" s="4"/>
      <c r="AC524" s="4"/>
      <c r="AD524" s="4"/>
      <c r="AE524" s="4"/>
      <c r="AF524" s="4"/>
    </row>
    <row r="525" spans="1:32" ht="30" hidden="1">
      <c r="A525" s="4">
        <v>520</v>
      </c>
      <c r="B525" s="37" t="s">
        <v>671</v>
      </c>
      <c r="C525" s="37" t="s">
        <v>672</v>
      </c>
      <c r="D525" s="4" t="s">
        <v>576</v>
      </c>
      <c r="E525" s="8" t="s">
        <v>47</v>
      </c>
      <c r="G525" s="35">
        <v>44988</v>
      </c>
      <c r="H525" s="38" t="s">
        <v>627</v>
      </c>
      <c r="I525" s="36" t="s">
        <v>578</v>
      </c>
      <c r="J525" s="43">
        <v>45036</v>
      </c>
      <c r="K525" s="38" t="s">
        <v>627</v>
      </c>
      <c r="L525" s="16" t="s">
        <v>317</v>
      </c>
      <c r="M525" s="43">
        <v>45040</v>
      </c>
      <c r="N525" s="4"/>
      <c r="O525" s="8" t="s">
        <v>47</v>
      </c>
      <c r="P525" s="43">
        <v>45042</v>
      </c>
      <c r="Q525" s="4"/>
      <c r="R525" s="43">
        <v>45044</v>
      </c>
      <c r="S525" s="4"/>
      <c r="T525" s="43">
        <v>45050</v>
      </c>
      <c r="U525" s="4"/>
      <c r="V525" s="4"/>
      <c r="W525" s="17">
        <v>45073</v>
      </c>
      <c r="X525" s="4"/>
      <c r="Y525" s="4"/>
      <c r="Z525" s="17">
        <v>45077</v>
      </c>
      <c r="AA525" s="4"/>
      <c r="AB525" s="4"/>
      <c r="AC525" s="4"/>
      <c r="AD525" s="4"/>
      <c r="AE525" s="4"/>
      <c r="AF525" s="4"/>
    </row>
    <row r="526" spans="1:32" ht="30" hidden="1">
      <c r="A526" s="4">
        <v>521</v>
      </c>
      <c r="B526" s="37" t="s">
        <v>673</v>
      </c>
      <c r="C526" s="37" t="s">
        <v>673</v>
      </c>
      <c r="D526" s="4" t="s">
        <v>576</v>
      </c>
      <c r="E526" s="8" t="s">
        <v>47</v>
      </c>
      <c r="G526" s="35">
        <v>44988</v>
      </c>
      <c r="H526" s="38" t="s">
        <v>627</v>
      </c>
      <c r="I526" s="36" t="s">
        <v>578</v>
      </c>
      <c r="J526" s="43">
        <v>45036</v>
      </c>
      <c r="K526" s="38" t="s">
        <v>627</v>
      </c>
      <c r="L526" s="16" t="s">
        <v>317</v>
      </c>
      <c r="M526" s="43">
        <v>45040</v>
      </c>
      <c r="N526" s="4"/>
      <c r="O526" s="8" t="s">
        <v>47</v>
      </c>
      <c r="P526" s="43">
        <v>45042</v>
      </c>
      <c r="Q526" s="4"/>
      <c r="R526" s="43">
        <v>45044</v>
      </c>
      <c r="S526" s="4"/>
      <c r="T526" s="43">
        <v>45050</v>
      </c>
      <c r="U526" s="4"/>
      <c r="V526" s="4"/>
      <c r="W526" s="17">
        <v>45073</v>
      </c>
      <c r="X526" s="4"/>
      <c r="Y526" s="4"/>
      <c r="Z526" s="17">
        <v>45077</v>
      </c>
      <c r="AA526" s="4"/>
      <c r="AB526" s="4"/>
      <c r="AC526" s="4"/>
      <c r="AD526" s="4"/>
      <c r="AE526" s="4"/>
      <c r="AF526" s="4"/>
    </row>
    <row r="527" spans="1:32" ht="30" hidden="1">
      <c r="A527" s="4">
        <v>522</v>
      </c>
      <c r="B527" s="37" t="s">
        <v>674</v>
      </c>
      <c r="C527" s="37" t="s">
        <v>675</v>
      </c>
      <c r="D527" s="4" t="s">
        <v>576</v>
      </c>
      <c r="E527" s="8" t="s">
        <v>47</v>
      </c>
      <c r="G527" s="35">
        <v>44988</v>
      </c>
      <c r="H527" s="38" t="s">
        <v>627</v>
      </c>
      <c r="I527" s="36" t="s">
        <v>578</v>
      </c>
      <c r="J527" s="43">
        <v>45036</v>
      </c>
      <c r="K527" s="38" t="s">
        <v>627</v>
      </c>
      <c r="L527" s="16" t="s">
        <v>317</v>
      </c>
      <c r="M527" s="43">
        <v>45040</v>
      </c>
      <c r="N527" s="4"/>
      <c r="O527" s="8" t="s">
        <v>47</v>
      </c>
      <c r="P527" s="43">
        <v>45042</v>
      </c>
      <c r="Q527" s="4"/>
      <c r="R527" s="43">
        <v>45044</v>
      </c>
      <c r="S527" s="4"/>
      <c r="T527" s="43">
        <v>45050</v>
      </c>
      <c r="U527" s="4"/>
      <c r="V527" s="4"/>
      <c r="W527" s="17">
        <v>45073</v>
      </c>
      <c r="X527" s="4"/>
      <c r="Y527" s="4"/>
      <c r="Z527" s="17">
        <v>45077</v>
      </c>
      <c r="AA527" s="4"/>
      <c r="AB527" s="4"/>
      <c r="AC527" s="4"/>
      <c r="AD527" s="4"/>
      <c r="AE527" s="4"/>
      <c r="AF527" s="4"/>
    </row>
    <row r="528" spans="1:32" ht="30" hidden="1">
      <c r="A528" s="4">
        <v>523</v>
      </c>
      <c r="B528" s="37" t="s">
        <v>676</v>
      </c>
      <c r="C528" s="37" t="s">
        <v>676</v>
      </c>
      <c r="D528" s="4" t="s">
        <v>576</v>
      </c>
      <c r="E528" s="8" t="s">
        <v>47</v>
      </c>
      <c r="G528" s="35">
        <v>44988</v>
      </c>
      <c r="H528" s="38" t="s">
        <v>627</v>
      </c>
      <c r="I528" s="36" t="s">
        <v>578</v>
      </c>
      <c r="J528" s="43">
        <v>45036</v>
      </c>
      <c r="K528" s="38" t="s">
        <v>627</v>
      </c>
      <c r="L528" s="16" t="s">
        <v>317</v>
      </c>
      <c r="M528" s="43">
        <v>45040</v>
      </c>
      <c r="N528" s="4"/>
      <c r="O528" s="8" t="s">
        <v>47</v>
      </c>
      <c r="P528" s="43">
        <v>45042</v>
      </c>
      <c r="Q528" s="4"/>
      <c r="R528" s="43">
        <v>45044</v>
      </c>
      <c r="S528" s="4"/>
      <c r="T528" s="43">
        <v>45050</v>
      </c>
      <c r="U528" s="4"/>
      <c r="V528" s="4"/>
      <c r="W528" s="17">
        <v>45073</v>
      </c>
      <c r="X528" s="4"/>
      <c r="Y528" s="4"/>
      <c r="Z528" s="17">
        <v>45077</v>
      </c>
      <c r="AA528" s="4"/>
      <c r="AB528" s="4"/>
      <c r="AC528" s="4"/>
      <c r="AD528" s="4"/>
      <c r="AE528" s="4"/>
      <c r="AF528" s="4"/>
    </row>
    <row r="529" spans="1:32" ht="30" hidden="1">
      <c r="A529" s="4">
        <v>524</v>
      </c>
      <c r="B529" s="37" t="s">
        <v>677</v>
      </c>
      <c r="C529" s="39" t="s">
        <v>678</v>
      </c>
      <c r="D529" s="4" t="s">
        <v>576</v>
      </c>
      <c r="E529" s="8" t="s">
        <v>47</v>
      </c>
      <c r="G529" s="35">
        <v>44988</v>
      </c>
      <c r="H529" s="38" t="s">
        <v>621</v>
      </c>
      <c r="I529" s="36" t="s">
        <v>578</v>
      </c>
      <c r="J529" s="43">
        <v>45015</v>
      </c>
      <c r="K529" s="36" t="s">
        <v>579</v>
      </c>
      <c r="L529" s="16" t="s">
        <v>317</v>
      </c>
      <c r="M529" s="43">
        <v>45040</v>
      </c>
      <c r="N529" s="4"/>
      <c r="O529" s="8" t="s">
        <v>47</v>
      </c>
      <c r="P529" s="43">
        <v>45042</v>
      </c>
      <c r="Q529" s="4"/>
      <c r="R529" s="43">
        <v>45044</v>
      </c>
      <c r="S529" s="4"/>
      <c r="T529" s="43">
        <v>45050</v>
      </c>
      <c r="U529" s="4"/>
      <c r="V529" s="4"/>
      <c r="W529" s="17">
        <v>45073</v>
      </c>
      <c r="X529" s="4"/>
      <c r="Y529" s="4"/>
      <c r="Z529" s="17">
        <v>45077</v>
      </c>
      <c r="AA529" s="4"/>
      <c r="AB529" s="4"/>
      <c r="AC529" s="4"/>
      <c r="AD529" s="4"/>
      <c r="AE529" s="4"/>
      <c r="AF529" s="4"/>
    </row>
    <row r="530" spans="1:32" ht="30" hidden="1">
      <c r="A530" s="4">
        <v>525</v>
      </c>
      <c r="B530" s="37" t="s">
        <v>679</v>
      </c>
      <c r="C530" s="39" t="s">
        <v>679</v>
      </c>
      <c r="D530" s="4" t="s">
        <v>576</v>
      </c>
      <c r="E530" s="8" t="s">
        <v>47</v>
      </c>
      <c r="G530" s="35">
        <v>44989</v>
      </c>
      <c r="H530" s="38"/>
      <c r="I530" s="36" t="s">
        <v>578</v>
      </c>
      <c r="J530" s="47">
        <v>45046</v>
      </c>
      <c r="K530" s="38"/>
      <c r="L530" s="16" t="s">
        <v>317</v>
      </c>
      <c r="M530" s="43">
        <v>45053</v>
      </c>
      <c r="N530" s="4"/>
      <c r="O530" s="8" t="s">
        <v>47</v>
      </c>
      <c r="P530" s="35">
        <v>45055</v>
      </c>
      <c r="Q530" s="4"/>
      <c r="R530" s="35">
        <v>45057</v>
      </c>
      <c r="S530" s="4"/>
      <c r="T530" s="35">
        <v>45059</v>
      </c>
      <c r="U530" s="4"/>
      <c r="V530" s="4"/>
      <c r="W530" s="17">
        <v>45073</v>
      </c>
      <c r="X530" s="4"/>
      <c r="Y530" s="4"/>
      <c r="Z530" s="17">
        <v>45077</v>
      </c>
      <c r="AA530" s="4"/>
      <c r="AB530" s="4"/>
      <c r="AC530" s="4"/>
      <c r="AD530" s="4"/>
      <c r="AE530" s="4"/>
      <c r="AF530" s="4"/>
    </row>
    <row r="531" spans="1:32" ht="30" hidden="1">
      <c r="A531" s="4">
        <v>526</v>
      </c>
      <c r="B531" s="37" t="s">
        <v>680</v>
      </c>
      <c r="C531" s="37" t="s">
        <v>681</v>
      </c>
      <c r="D531" s="4" t="s">
        <v>576</v>
      </c>
      <c r="E531" s="8" t="s">
        <v>47</v>
      </c>
      <c r="G531" s="35">
        <v>44990</v>
      </c>
      <c r="H531" s="45"/>
      <c r="I531" s="36" t="s">
        <v>578</v>
      </c>
      <c r="J531" s="47">
        <v>45046</v>
      </c>
      <c r="K531" s="45"/>
      <c r="L531" s="16" t="s">
        <v>317</v>
      </c>
      <c r="M531" s="43">
        <v>45053</v>
      </c>
      <c r="N531" s="4"/>
      <c r="O531" s="8" t="s">
        <v>47</v>
      </c>
      <c r="P531" s="35">
        <v>45055</v>
      </c>
      <c r="Q531" s="4"/>
      <c r="R531" s="35">
        <v>45057</v>
      </c>
      <c r="S531" s="4"/>
      <c r="T531" s="35">
        <v>45059</v>
      </c>
      <c r="U531" s="4"/>
      <c r="V531" s="4"/>
      <c r="W531" s="17">
        <v>45073</v>
      </c>
      <c r="X531" s="4"/>
      <c r="Y531" s="4"/>
      <c r="Z531" s="17">
        <v>45077</v>
      </c>
      <c r="AA531" s="4"/>
      <c r="AB531" s="4"/>
      <c r="AC531" s="4"/>
      <c r="AD531" s="4"/>
      <c r="AE531" s="4"/>
      <c r="AF531" s="4"/>
    </row>
    <row r="532" spans="1:32" ht="17" hidden="1">
      <c r="A532" s="4">
        <v>527</v>
      </c>
      <c r="B532" s="46" t="s">
        <v>682</v>
      </c>
      <c r="C532" s="37"/>
      <c r="E532" s="8" t="s">
        <v>47</v>
      </c>
      <c r="G532" s="35"/>
      <c r="H532" s="45"/>
      <c r="I532" s="36"/>
      <c r="J532" s="45"/>
      <c r="K532" s="45"/>
      <c r="L532" s="16"/>
      <c r="M532" s="48"/>
      <c r="N532" s="4"/>
      <c r="O532" s="8"/>
      <c r="P532" s="4"/>
      <c r="Q532" s="4"/>
      <c r="R532" s="4"/>
      <c r="S532" s="4"/>
      <c r="T532" s="4"/>
      <c r="U532" s="4"/>
      <c r="V532" s="4"/>
      <c r="W532" s="17">
        <v>45073</v>
      </c>
      <c r="X532" s="4"/>
      <c r="Y532" s="4"/>
      <c r="Z532" s="17"/>
      <c r="AA532" s="4"/>
      <c r="AB532" s="4"/>
      <c r="AC532" s="4"/>
      <c r="AD532" s="4"/>
      <c r="AE532" s="4"/>
      <c r="AF532" s="4"/>
    </row>
    <row r="533" spans="1:32" ht="30" hidden="1">
      <c r="A533" s="4">
        <v>528</v>
      </c>
      <c r="B533" s="37" t="s">
        <v>683</v>
      </c>
      <c r="C533" s="37" t="s">
        <v>684</v>
      </c>
      <c r="D533" s="4" t="s">
        <v>576</v>
      </c>
      <c r="E533" s="8" t="s">
        <v>47</v>
      </c>
      <c r="G533" s="35">
        <v>45036</v>
      </c>
      <c r="H533" s="36"/>
      <c r="I533" s="36" t="s">
        <v>578</v>
      </c>
      <c r="J533" s="47">
        <v>45056</v>
      </c>
      <c r="K533" s="36"/>
      <c r="L533" s="16" t="s">
        <v>317</v>
      </c>
      <c r="M533" s="47">
        <v>45058</v>
      </c>
      <c r="N533" s="4"/>
      <c r="O533" s="8" t="s">
        <v>47</v>
      </c>
      <c r="P533" s="47">
        <v>45060</v>
      </c>
      <c r="Q533" s="4"/>
      <c r="R533" s="47">
        <v>45062</v>
      </c>
      <c r="S533" s="4"/>
      <c r="T533" s="47">
        <v>45064</v>
      </c>
      <c r="U533" s="4"/>
      <c r="V533" s="4"/>
      <c r="W533" s="17">
        <v>45073</v>
      </c>
      <c r="X533" s="4"/>
      <c r="Y533" s="4"/>
      <c r="Z533" s="17">
        <v>45077</v>
      </c>
      <c r="AA533" s="4"/>
      <c r="AB533" s="4"/>
      <c r="AC533" s="4"/>
      <c r="AD533" s="4"/>
      <c r="AE533" s="4"/>
      <c r="AF533" s="4"/>
    </row>
    <row r="534" spans="1:32" ht="30" hidden="1">
      <c r="A534" s="4">
        <v>529</v>
      </c>
      <c r="B534" s="37" t="s">
        <v>685</v>
      </c>
      <c r="C534" s="37" t="s">
        <v>686</v>
      </c>
      <c r="D534" s="4" t="s">
        <v>576</v>
      </c>
      <c r="E534" s="8" t="s">
        <v>47</v>
      </c>
      <c r="G534" s="35">
        <v>45036</v>
      </c>
      <c r="H534" s="36"/>
      <c r="I534" s="36" t="s">
        <v>578</v>
      </c>
      <c r="J534" s="47">
        <v>45056</v>
      </c>
      <c r="K534" s="36"/>
      <c r="L534" s="16" t="s">
        <v>317</v>
      </c>
      <c r="M534" s="47">
        <v>45058</v>
      </c>
      <c r="N534" s="4"/>
      <c r="O534" s="8" t="s">
        <v>47</v>
      </c>
      <c r="P534" s="47">
        <v>45060</v>
      </c>
      <c r="Q534" s="4"/>
      <c r="R534" s="47">
        <v>45062</v>
      </c>
      <c r="S534" s="4"/>
      <c r="T534" s="47">
        <v>45064</v>
      </c>
      <c r="U534" s="4"/>
      <c r="V534" s="4"/>
      <c r="W534" s="17">
        <v>45073</v>
      </c>
      <c r="X534" s="4"/>
      <c r="Y534" s="4"/>
      <c r="Z534" s="17">
        <v>45077</v>
      </c>
      <c r="AA534" s="4"/>
      <c r="AB534" s="4"/>
      <c r="AC534" s="4"/>
      <c r="AD534" s="4"/>
      <c r="AE534" s="4"/>
      <c r="AF534" s="4"/>
    </row>
    <row r="535" spans="1:32" ht="17" hidden="1">
      <c r="A535" s="4">
        <v>530</v>
      </c>
      <c r="B535" s="46" t="s">
        <v>687</v>
      </c>
      <c r="C535" s="37"/>
      <c r="E535" s="8" t="s">
        <v>47</v>
      </c>
      <c r="G535" s="35"/>
      <c r="H535" s="36"/>
      <c r="I535" s="36"/>
      <c r="J535" s="45"/>
      <c r="K535" s="36"/>
      <c r="L535" s="16"/>
      <c r="M535" s="48"/>
      <c r="N535" s="4"/>
      <c r="O535" s="8"/>
      <c r="P535" s="4"/>
      <c r="Q535" s="4"/>
      <c r="R535" s="4"/>
      <c r="S535" s="4"/>
      <c r="T535" s="4"/>
      <c r="U535" s="4"/>
      <c r="V535" s="4"/>
      <c r="W535" s="17">
        <v>45073</v>
      </c>
      <c r="X535" s="4"/>
      <c r="Y535" s="4"/>
      <c r="Z535" s="17"/>
      <c r="AA535" s="4"/>
      <c r="AB535" s="4"/>
      <c r="AC535" s="4"/>
      <c r="AD535" s="4"/>
      <c r="AE535" s="4"/>
      <c r="AF535" s="4"/>
    </row>
    <row r="536" spans="1:32" ht="30" hidden="1">
      <c r="A536" s="4">
        <v>531</v>
      </c>
      <c r="B536" s="37" t="s">
        <v>688</v>
      </c>
      <c r="C536" s="37" t="s">
        <v>689</v>
      </c>
      <c r="D536" s="4" t="s">
        <v>576</v>
      </c>
      <c r="E536" s="8" t="s">
        <v>47</v>
      </c>
      <c r="G536" s="35">
        <v>45036</v>
      </c>
      <c r="H536" s="36" t="s">
        <v>690</v>
      </c>
      <c r="I536" s="36" t="s">
        <v>578</v>
      </c>
      <c r="J536" s="47">
        <v>45061</v>
      </c>
      <c r="K536" s="36" t="s">
        <v>690</v>
      </c>
      <c r="L536" s="16" t="s">
        <v>317</v>
      </c>
      <c r="M536" s="47">
        <v>45063</v>
      </c>
      <c r="N536" s="4"/>
      <c r="O536" s="8" t="s">
        <v>47</v>
      </c>
      <c r="P536" s="47">
        <v>45064</v>
      </c>
      <c r="Q536" s="4"/>
      <c r="R536" s="47">
        <v>45066</v>
      </c>
      <c r="S536" s="4"/>
      <c r="T536" s="47">
        <v>45069</v>
      </c>
      <c r="U536" s="4"/>
      <c r="V536" s="4"/>
      <c r="W536" s="17">
        <v>45073</v>
      </c>
      <c r="X536" s="4"/>
      <c r="Y536" s="4"/>
      <c r="Z536" s="17">
        <v>45077</v>
      </c>
      <c r="AA536" s="4"/>
      <c r="AB536" s="4"/>
      <c r="AC536" s="4"/>
      <c r="AD536" s="4"/>
      <c r="AE536" s="4"/>
      <c r="AF536" s="4"/>
    </row>
    <row r="537" spans="1:32" ht="30" hidden="1">
      <c r="A537" s="4">
        <v>532</v>
      </c>
      <c r="B537" s="37" t="s">
        <v>691</v>
      </c>
      <c r="C537" s="37" t="s">
        <v>692</v>
      </c>
      <c r="D537" s="4" t="s">
        <v>576</v>
      </c>
      <c r="E537" s="8" t="s">
        <v>47</v>
      </c>
      <c r="G537" s="35">
        <v>45036</v>
      </c>
      <c r="H537" s="36" t="s">
        <v>690</v>
      </c>
      <c r="I537" s="36" t="s">
        <v>578</v>
      </c>
      <c r="J537" s="47">
        <v>45062</v>
      </c>
      <c r="K537" s="36" t="s">
        <v>690</v>
      </c>
      <c r="L537" s="16" t="s">
        <v>317</v>
      </c>
      <c r="M537" s="47">
        <v>45064</v>
      </c>
      <c r="N537" s="4"/>
      <c r="O537" s="8" t="s">
        <v>47</v>
      </c>
      <c r="P537" s="47">
        <v>45065</v>
      </c>
      <c r="Q537" s="4"/>
      <c r="R537" s="47">
        <v>45067</v>
      </c>
      <c r="S537" s="4"/>
      <c r="T537" s="47">
        <v>45069</v>
      </c>
      <c r="U537" s="4"/>
      <c r="V537" s="4"/>
      <c r="W537" s="17">
        <v>45073</v>
      </c>
      <c r="X537" s="4"/>
      <c r="Y537" s="4"/>
      <c r="Z537" s="17">
        <v>45077</v>
      </c>
      <c r="AA537" s="4"/>
      <c r="AB537" s="4"/>
      <c r="AC537" s="4"/>
      <c r="AD537" s="4"/>
      <c r="AE537" s="4"/>
      <c r="AF537" s="4"/>
    </row>
    <row r="538" spans="1:32" ht="17" hidden="1">
      <c r="A538" s="4">
        <v>533</v>
      </c>
      <c r="B538" s="46" t="s">
        <v>693</v>
      </c>
      <c r="C538" s="37"/>
      <c r="E538" s="8" t="s">
        <v>47</v>
      </c>
      <c r="G538" s="35"/>
      <c r="H538" s="36"/>
      <c r="I538" s="36"/>
      <c r="J538" s="45"/>
      <c r="K538" s="36"/>
      <c r="L538" s="16"/>
      <c r="M538" s="48"/>
      <c r="N538" s="4"/>
      <c r="O538" s="8"/>
      <c r="P538" s="4"/>
      <c r="Q538" s="4"/>
      <c r="R538" s="4"/>
      <c r="S538" s="4"/>
      <c r="T538" s="4"/>
      <c r="U538" s="4"/>
      <c r="V538" s="4"/>
      <c r="W538" s="17">
        <v>45073</v>
      </c>
      <c r="X538" s="4"/>
      <c r="Y538" s="4"/>
      <c r="Z538" s="17"/>
      <c r="AA538" s="4"/>
      <c r="AB538" s="4"/>
      <c r="AC538" s="4"/>
      <c r="AD538" s="4"/>
      <c r="AE538" s="4"/>
      <c r="AF538" s="4"/>
    </row>
    <row r="539" spans="1:32" ht="68" hidden="1">
      <c r="A539" s="4">
        <v>534</v>
      </c>
      <c r="B539" s="34" t="s">
        <v>694</v>
      </c>
      <c r="C539" s="34" t="s">
        <v>695</v>
      </c>
      <c r="D539" s="4" t="s">
        <v>576</v>
      </c>
      <c r="E539" s="8" t="s">
        <v>47</v>
      </c>
      <c r="G539" s="35">
        <v>44875</v>
      </c>
      <c r="H539" s="36"/>
      <c r="I539" s="36" t="s">
        <v>578</v>
      </c>
      <c r="J539" s="43">
        <v>45046</v>
      </c>
      <c r="K539" s="36"/>
      <c r="L539" s="16" t="s">
        <v>317</v>
      </c>
      <c r="M539" s="35">
        <v>45053</v>
      </c>
      <c r="N539" s="4"/>
      <c r="O539" s="8" t="s">
        <v>47</v>
      </c>
      <c r="P539" s="35">
        <v>45055</v>
      </c>
      <c r="Q539" s="4"/>
      <c r="R539" s="35">
        <v>45057</v>
      </c>
      <c r="S539" s="4"/>
      <c r="T539" s="35">
        <v>45059</v>
      </c>
      <c r="U539" s="4"/>
      <c r="V539" s="4"/>
      <c r="W539" s="17">
        <v>45073</v>
      </c>
      <c r="X539" s="4"/>
      <c r="Y539" s="4"/>
      <c r="Z539" s="17">
        <v>45077</v>
      </c>
      <c r="AA539" s="4"/>
      <c r="AB539" s="4"/>
      <c r="AC539" s="4"/>
      <c r="AD539" s="4"/>
      <c r="AE539" s="4"/>
      <c r="AF539" s="4"/>
    </row>
    <row r="540" spans="1:32" ht="30" hidden="1">
      <c r="A540" s="4">
        <v>535</v>
      </c>
      <c r="B540" s="37" t="s">
        <v>696</v>
      </c>
      <c r="C540" s="37" t="s">
        <v>696</v>
      </c>
      <c r="D540" s="4" t="s">
        <v>576</v>
      </c>
      <c r="E540" s="8" t="s">
        <v>47</v>
      </c>
      <c r="G540" s="35">
        <v>45036</v>
      </c>
      <c r="H540" s="45"/>
      <c r="I540" s="36" t="s">
        <v>578</v>
      </c>
      <c r="J540" s="43">
        <v>45046</v>
      </c>
      <c r="K540" s="45"/>
      <c r="L540" s="16" t="s">
        <v>317</v>
      </c>
      <c r="M540" s="35">
        <v>45053</v>
      </c>
      <c r="N540" s="4"/>
      <c r="O540" s="8" t="s">
        <v>47</v>
      </c>
      <c r="P540" s="35">
        <v>45055</v>
      </c>
      <c r="Q540" s="4"/>
      <c r="R540" s="35">
        <v>45057</v>
      </c>
      <c r="S540" s="4"/>
      <c r="T540" s="35">
        <v>45059</v>
      </c>
      <c r="U540" s="4"/>
      <c r="V540" s="4"/>
      <c r="W540" s="17">
        <v>45073</v>
      </c>
      <c r="X540" s="4"/>
      <c r="Y540" s="4"/>
      <c r="Z540" s="17">
        <v>45077</v>
      </c>
      <c r="AA540" s="4"/>
      <c r="AB540" s="4"/>
      <c r="AC540" s="4"/>
      <c r="AD540" s="4"/>
      <c r="AE540" s="4"/>
      <c r="AF540" s="4"/>
    </row>
    <row r="541" spans="1:32" ht="51" hidden="1">
      <c r="A541" s="4">
        <v>536</v>
      </c>
      <c r="B541" s="37" t="s">
        <v>677</v>
      </c>
      <c r="C541" s="37" t="s">
        <v>697</v>
      </c>
      <c r="D541" s="4" t="s">
        <v>576</v>
      </c>
      <c r="E541" s="8" t="s">
        <v>47</v>
      </c>
      <c r="G541" s="35">
        <v>45036</v>
      </c>
      <c r="H541" s="45"/>
      <c r="I541" s="36" t="s">
        <v>578</v>
      </c>
      <c r="J541" s="43">
        <v>45046</v>
      </c>
      <c r="K541" s="45"/>
      <c r="L541" s="16" t="s">
        <v>317</v>
      </c>
      <c r="M541" s="35">
        <v>45053</v>
      </c>
      <c r="N541" s="4"/>
      <c r="O541" s="8" t="s">
        <v>47</v>
      </c>
      <c r="P541" s="35">
        <v>45055</v>
      </c>
      <c r="Q541" s="4"/>
      <c r="R541" s="35">
        <v>45057</v>
      </c>
      <c r="S541" s="4"/>
      <c r="T541" s="35">
        <v>45059</v>
      </c>
      <c r="U541" s="4"/>
      <c r="V541" s="4"/>
      <c r="W541" s="17">
        <v>45073</v>
      </c>
      <c r="X541" s="4"/>
      <c r="Y541" s="4"/>
      <c r="Z541" s="17">
        <v>45077</v>
      </c>
      <c r="AA541" s="4"/>
      <c r="AB541" s="4"/>
      <c r="AC541" s="4"/>
      <c r="AD541" s="4"/>
      <c r="AE541" s="4"/>
      <c r="AF541" s="4"/>
    </row>
    <row r="542" spans="1:32" ht="68" hidden="1">
      <c r="A542" s="4">
        <v>537</v>
      </c>
      <c r="B542" s="37" t="s">
        <v>698</v>
      </c>
      <c r="C542" s="37" t="s">
        <v>699</v>
      </c>
      <c r="D542" s="4" t="s">
        <v>576</v>
      </c>
      <c r="E542" s="8" t="s">
        <v>47</v>
      </c>
      <c r="G542" s="35">
        <v>45036</v>
      </c>
      <c r="H542" s="45"/>
      <c r="I542" s="36" t="s">
        <v>578</v>
      </c>
      <c r="J542" s="43">
        <v>45046</v>
      </c>
      <c r="K542" s="45"/>
      <c r="L542" s="16" t="s">
        <v>317</v>
      </c>
      <c r="M542" s="35">
        <v>45053</v>
      </c>
      <c r="N542" s="4"/>
      <c r="O542" s="8" t="s">
        <v>47</v>
      </c>
      <c r="P542" s="35">
        <v>45055</v>
      </c>
      <c r="Q542" s="4"/>
      <c r="R542" s="35">
        <v>45057</v>
      </c>
      <c r="S542" s="4"/>
      <c r="T542" s="35">
        <v>45059</v>
      </c>
      <c r="U542" s="4"/>
      <c r="V542" s="4"/>
      <c r="W542" s="17">
        <v>45073</v>
      </c>
      <c r="X542" s="4"/>
      <c r="Y542" s="4"/>
      <c r="Z542" s="17">
        <v>45077</v>
      </c>
      <c r="AA542" s="4"/>
      <c r="AB542" s="4"/>
      <c r="AC542" s="4"/>
      <c r="AD542" s="4"/>
      <c r="AE542" s="4"/>
      <c r="AF542" s="4"/>
    </row>
    <row r="543" spans="1:32" ht="30" hidden="1">
      <c r="A543" s="4">
        <v>538</v>
      </c>
      <c r="B543" s="37" t="s">
        <v>700</v>
      </c>
      <c r="C543" s="37" t="s">
        <v>701</v>
      </c>
      <c r="D543" s="4" t="s">
        <v>576</v>
      </c>
      <c r="E543" s="8" t="s">
        <v>47</v>
      </c>
      <c r="G543" s="35">
        <v>45036</v>
      </c>
      <c r="H543" s="45"/>
      <c r="I543" s="36" t="s">
        <v>578</v>
      </c>
      <c r="J543" s="43">
        <v>45046</v>
      </c>
      <c r="K543" s="45"/>
      <c r="L543" s="16" t="s">
        <v>317</v>
      </c>
      <c r="M543" s="35">
        <v>45053</v>
      </c>
      <c r="N543" s="4"/>
      <c r="O543" s="8" t="s">
        <v>47</v>
      </c>
      <c r="P543" s="35">
        <v>45055</v>
      </c>
      <c r="Q543" s="4"/>
      <c r="R543" s="35">
        <v>45057</v>
      </c>
      <c r="S543" s="4"/>
      <c r="T543" s="35">
        <v>45059</v>
      </c>
      <c r="U543" s="4"/>
      <c r="V543" s="4"/>
      <c r="W543" s="17">
        <v>45073</v>
      </c>
      <c r="X543" s="4"/>
      <c r="Y543" s="4"/>
      <c r="Z543" s="17">
        <v>45077</v>
      </c>
      <c r="AA543" s="4"/>
      <c r="AB543" s="4"/>
      <c r="AC543" s="4"/>
      <c r="AD543" s="4"/>
      <c r="AE543" s="4"/>
      <c r="AF543" s="4"/>
    </row>
    <row r="544" spans="1:32" ht="51" hidden="1">
      <c r="A544" s="4">
        <v>539</v>
      </c>
      <c r="B544" s="37" t="s">
        <v>702</v>
      </c>
      <c r="C544" s="37" t="s">
        <v>703</v>
      </c>
      <c r="D544" s="4" t="s">
        <v>576</v>
      </c>
      <c r="E544" s="8" t="s">
        <v>47</v>
      </c>
      <c r="G544" s="35">
        <v>45036</v>
      </c>
      <c r="H544" s="45"/>
      <c r="I544" s="36" t="s">
        <v>578</v>
      </c>
      <c r="J544" s="43">
        <v>45046</v>
      </c>
      <c r="K544" s="45"/>
      <c r="L544" s="16" t="s">
        <v>317</v>
      </c>
      <c r="M544" s="35">
        <v>45053</v>
      </c>
      <c r="N544" s="4"/>
      <c r="O544" s="8" t="s">
        <v>47</v>
      </c>
      <c r="P544" s="35">
        <v>45055</v>
      </c>
      <c r="Q544" s="4"/>
      <c r="R544" s="35">
        <v>45057</v>
      </c>
      <c r="S544" s="4"/>
      <c r="T544" s="35">
        <v>45059</v>
      </c>
      <c r="U544" s="4"/>
      <c r="V544" s="4"/>
      <c r="W544" s="17">
        <v>45073</v>
      </c>
      <c r="X544" s="4"/>
      <c r="Y544" s="4"/>
      <c r="Z544" s="17">
        <v>45077</v>
      </c>
      <c r="AA544" s="4"/>
      <c r="AB544" s="4"/>
      <c r="AC544" s="4"/>
      <c r="AD544" s="4"/>
      <c r="AE544" s="4"/>
      <c r="AF544" s="4"/>
    </row>
    <row r="545" spans="1:32" ht="30" hidden="1">
      <c r="A545" s="4">
        <v>540</v>
      </c>
      <c r="B545" s="37" t="s">
        <v>704</v>
      </c>
      <c r="C545" s="37" t="s">
        <v>704</v>
      </c>
      <c r="D545" s="4" t="s">
        <v>576</v>
      </c>
      <c r="E545" s="8" t="s">
        <v>47</v>
      </c>
      <c r="G545" s="35">
        <v>45036</v>
      </c>
      <c r="H545" s="45"/>
      <c r="I545" s="36" t="s">
        <v>578</v>
      </c>
      <c r="J545" s="43">
        <v>45046</v>
      </c>
      <c r="K545" s="45"/>
      <c r="L545" s="16" t="s">
        <v>317</v>
      </c>
      <c r="M545" s="35">
        <v>45053</v>
      </c>
      <c r="N545" s="4"/>
      <c r="O545" s="8" t="s">
        <v>47</v>
      </c>
      <c r="P545" s="35">
        <v>45055</v>
      </c>
      <c r="Q545" s="4"/>
      <c r="R545" s="35">
        <v>45057</v>
      </c>
      <c r="S545" s="4"/>
      <c r="T545" s="35">
        <v>45059</v>
      </c>
      <c r="U545" s="4"/>
      <c r="V545" s="4"/>
      <c r="W545" s="17">
        <v>45073</v>
      </c>
      <c r="X545" s="4"/>
      <c r="Y545" s="4"/>
      <c r="Z545" s="17">
        <v>45077</v>
      </c>
      <c r="AA545" s="4"/>
      <c r="AB545" s="4"/>
      <c r="AC545" s="4"/>
      <c r="AD545" s="4"/>
      <c r="AE545" s="4"/>
      <c r="AF545" s="4"/>
    </row>
    <row r="546" spans="1:32" ht="17" hidden="1">
      <c r="A546" s="4">
        <v>541</v>
      </c>
      <c r="B546" s="46" t="s">
        <v>705</v>
      </c>
      <c r="C546" s="37"/>
      <c r="E546" s="8" t="s">
        <v>47</v>
      </c>
      <c r="G546" s="35"/>
      <c r="H546" s="45"/>
      <c r="I546" s="36"/>
      <c r="J546" s="43"/>
      <c r="K546" s="45"/>
      <c r="L546" s="16"/>
      <c r="M546" s="48"/>
      <c r="N546" s="4"/>
      <c r="O546" s="8"/>
      <c r="P546" s="4"/>
      <c r="Q546" s="4"/>
      <c r="R546" s="4"/>
      <c r="S546" s="4"/>
      <c r="T546" s="35"/>
      <c r="U546" s="4"/>
      <c r="V546" s="4"/>
      <c r="W546" s="17">
        <v>45073</v>
      </c>
      <c r="X546" s="4"/>
      <c r="Y546" s="4"/>
      <c r="Z546" s="17"/>
      <c r="AA546" s="4"/>
      <c r="AB546" s="4"/>
      <c r="AC546" s="4"/>
      <c r="AD546" s="4"/>
      <c r="AE546" s="4"/>
      <c r="AF546" s="4"/>
    </row>
    <row r="547" spans="1:32" ht="30" hidden="1">
      <c r="A547" s="4">
        <v>542</v>
      </c>
      <c r="B547" s="37" t="s">
        <v>706</v>
      </c>
      <c r="C547" s="37" t="s">
        <v>707</v>
      </c>
      <c r="D547" s="4" t="s">
        <v>576</v>
      </c>
      <c r="E547" s="8" t="s">
        <v>47</v>
      </c>
      <c r="G547" s="35">
        <v>45036</v>
      </c>
      <c r="H547" s="45"/>
      <c r="I547" s="36" t="s">
        <v>578</v>
      </c>
      <c r="J547" s="43">
        <v>45046</v>
      </c>
      <c r="K547" s="45"/>
      <c r="L547" s="16" t="s">
        <v>317</v>
      </c>
      <c r="M547" s="35">
        <v>45053</v>
      </c>
      <c r="N547" s="4"/>
      <c r="O547" s="8" t="s">
        <v>47</v>
      </c>
      <c r="P547" s="35">
        <v>45055</v>
      </c>
      <c r="Q547" s="4"/>
      <c r="R547" s="35">
        <v>45057</v>
      </c>
      <c r="S547" s="4"/>
      <c r="T547" s="35">
        <v>45059</v>
      </c>
      <c r="U547" s="4"/>
      <c r="V547" s="4"/>
      <c r="W547" s="17">
        <v>45073</v>
      </c>
      <c r="X547" s="4"/>
      <c r="Y547" s="4"/>
      <c r="Z547" s="17">
        <v>45077</v>
      </c>
      <c r="AA547" s="4"/>
      <c r="AB547" s="4"/>
      <c r="AC547" s="4"/>
      <c r="AD547" s="4"/>
      <c r="AE547" s="4"/>
      <c r="AF547" s="4"/>
    </row>
    <row r="548" spans="1:32" ht="51" hidden="1">
      <c r="A548" s="4">
        <v>543</v>
      </c>
      <c r="B548" s="37" t="s">
        <v>708</v>
      </c>
      <c r="C548" s="37" t="s">
        <v>709</v>
      </c>
      <c r="D548" s="4" t="s">
        <v>576</v>
      </c>
      <c r="E548" s="8" t="s">
        <v>47</v>
      </c>
      <c r="G548" s="35">
        <v>45036</v>
      </c>
      <c r="H548" s="45"/>
      <c r="I548" s="36" t="s">
        <v>578</v>
      </c>
      <c r="J548" s="43">
        <v>45046</v>
      </c>
      <c r="K548" s="45"/>
      <c r="L548" s="16" t="s">
        <v>317</v>
      </c>
      <c r="M548" s="35">
        <v>45053</v>
      </c>
      <c r="N548" s="4"/>
      <c r="O548" s="8" t="s">
        <v>47</v>
      </c>
      <c r="P548" s="35">
        <v>45055</v>
      </c>
      <c r="Q548" s="4"/>
      <c r="R548" s="35">
        <v>45057</v>
      </c>
      <c r="S548" s="4"/>
      <c r="T548" s="35">
        <v>45059</v>
      </c>
      <c r="U548" s="4"/>
      <c r="V548" s="4"/>
      <c r="W548" s="17">
        <v>45073</v>
      </c>
      <c r="X548" s="4"/>
      <c r="Y548" s="4"/>
      <c r="Z548" s="17">
        <v>45077</v>
      </c>
      <c r="AA548" s="4"/>
      <c r="AB548" s="4"/>
      <c r="AC548" s="4"/>
      <c r="AD548" s="4"/>
      <c r="AE548" s="4"/>
      <c r="AF548" s="4"/>
    </row>
    <row r="549" spans="1:32" ht="17" hidden="1">
      <c r="A549" s="4">
        <v>544</v>
      </c>
      <c r="B549" s="46" t="s">
        <v>710</v>
      </c>
      <c r="C549" s="37"/>
      <c r="E549" s="8" t="s">
        <v>47</v>
      </c>
      <c r="G549" s="35"/>
      <c r="H549" s="45"/>
      <c r="I549" s="36"/>
      <c r="J549" s="43"/>
      <c r="K549" s="45"/>
      <c r="L549" s="16"/>
      <c r="M549" s="48"/>
      <c r="N549" s="4"/>
      <c r="O549" s="8"/>
      <c r="P549" s="4"/>
      <c r="Q549" s="4"/>
      <c r="R549" s="4"/>
      <c r="S549" s="4"/>
      <c r="T549" s="4"/>
      <c r="U549" s="4"/>
      <c r="V549" s="4"/>
      <c r="W549" s="17">
        <v>45073</v>
      </c>
      <c r="X549" s="4"/>
      <c r="Y549" s="4"/>
      <c r="Z549" s="17"/>
      <c r="AA549" s="4"/>
      <c r="AB549" s="4"/>
      <c r="AC549" s="4"/>
      <c r="AD549" s="4"/>
      <c r="AE549" s="4"/>
      <c r="AF549" s="4"/>
    </row>
    <row r="550" spans="1:32" ht="30" hidden="1">
      <c r="A550" s="4">
        <v>545</v>
      </c>
      <c r="B550" s="37" t="s">
        <v>711</v>
      </c>
      <c r="C550" s="37" t="s">
        <v>711</v>
      </c>
      <c r="D550" s="4" t="s">
        <v>576</v>
      </c>
      <c r="E550" s="8" t="s">
        <v>47</v>
      </c>
      <c r="G550" s="35">
        <v>45036</v>
      </c>
      <c r="H550" s="45"/>
      <c r="I550" s="36" t="s">
        <v>578</v>
      </c>
      <c r="J550" s="43">
        <v>45046</v>
      </c>
      <c r="K550" s="45"/>
      <c r="L550" s="16" t="s">
        <v>317</v>
      </c>
      <c r="M550" s="35">
        <v>45053</v>
      </c>
      <c r="N550" s="4"/>
      <c r="O550" s="8" t="s">
        <v>47</v>
      </c>
      <c r="P550" s="35">
        <v>45055</v>
      </c>
      <c r="Q550" s="4"/>
      <c r="R550" s="35">
        <v>45057</v>
      </c>
      <c r="S550" s="4"/>
      <c r="T550" s="35">
        <v>45059</v>
      </c>
      <c r="U550" s="4"/>
      <c r="V550" s="4"/>
      <c r="W550" s="17">
        <v>45073</v>
      </c>
      <c r="X550" s="4"/>
      <c r="Y550" s="4"/>
      <c r="Z550" s="17">
        <v>45077</v>
      </c>
      <c r="AA550" s="4"/>
      <c r="AB550" s="4"/>
      <c r="AC550" s="4"/>
      <c r="AD550" s="4"/>
      <c r="AE550" s="4"/>
      <c r="AF550" s="4"/>
    </row>
    <row r="551" spans="1:32" ht="30" hidden="1">
      <c r="A551" s="4">
        <v>546</v>
      </c>
      <c r="B551" s="37" t="s">
        <v>712</v>
      </c>
      <c r="C551" s="37" t="s">
        <v>712</v>
      </c>
      <c r="D551" s="4" t="s">
        <v>576</v>
      </c>
      <c r="E551" s="8" t="s">
        <v>47</v>
      </c>
      <c r="G551" s="35">
        <v>45036</v>
      </c>
      <c r="H551" s="45"/>
      <c r="I551" s="36" t="s">
        <v>578</v>
      </c>
      <c r="J551" s="43">
        <v>45046</v>
      </c>
      <c r="K551" s="45"/>
      <c r="L551" s="16" t="s">
        <v>317</v>
      </c>
      <c r="M551" s="35">
        <v>45053</v>
      </c>
      <c r="N551" s="4"/>
      <c r="O551" s="8" t="s">
        <v>47</v>
      </c>
      <c r="P551" s="35">
        <v>45055</v>
      </c>
      <c r="Q551" s="4"/>
      <c r="R551" s="35">
        <v>45057</v>
      </c>
      <c r="S551" s="4"/>
      <c r="T551" s="35">
        <v>45059</v>
      </c>
      <c r="U551" s="4"/>
      <c r="V551" s="4"/>
      <c r="W551" s="17">
        <v>45073</v>
      </c>
      <c r="X551" s="4"/>
      <c r="Y551" s="4"/>
      <c r="Z551" s="17">
        <v>45077</v>
      </c>
      <c r="AA551" s="4"/>
      <c r="AB551" s="4"/>
      <c r="AC551" s="4"/>
      <c r="AD551" s="4"/>
      <c r="AE551" s="4"/>
      <c r="AF551" s="4"/>
    </row>
    <row r="552" spans="1:32" ht="30" hidden="1">
      <c r="A552" s="4">
        <v>547</v>
      </c>
      <c r="B552" s="37" t="s">
        <v>713</v>
      </c>
      <c r="C552" s="37" t="s">
        <v>713</v>
      </c>
      <c r="D552" s="4" t="s">
        <v>576</v>
      </c>
      <c r="E552" s="8" t="s">
        <v>47</v>
      </c>
      <c r="G552" s="35">
        <v>45036</v>
      </c>
      <c r="H552" s="45"/>
      <c r="I552" s="36" t="s">
        <v>578</v>
      </c>
      <c r="J552" s="43">
        <v>45046</v>
      </c>
      <c r="K552" s="45"/>
      <c r="L552" s="16" t="s">
        <v>317</v>
      </c>
      <c r="M552" s="35">
        <v>45053</v>
      </c>
      <c r="N552" s="4"/>
      <c r="O552" s="8" t="s">
        <v>47</v>
      </c>
      <c r="P552" s="35">
        <v>45055</v>
      </c>
      <c r="Q552" s="4"/>
      <c r="R552" s="35">
        <v>45057</v>
      </c>
      <c r="S552" s="4"/>
      <c r="T552" s="35">
        <v>45059</v>
      </c>
      <c r="U552" s="4"/>
      <c r="V552" s="4"/>
      <c r="W552" s="17">
        <v>45073</v>
      </c>
      <c r="X552" s="4"/>
      <c r="Y552" s="4"/>
      <c r="Z552" s="17">
        <v>45077</v>
      </c>
      <c r="AA552" s="4"/>
      <c r="AB552" s="4"/>
      <c r="AC552" s="4"/>
      <c r="AD552" s="4"/>
      <c r="AE552" s="4"/>
      <c r="AF552" s="4"/>
    </row>
    <row r="553" spans="1:32" ht="30" hidden="1">
      <c r="A553" s="4">
        <v>548</v>
      </c>
      <c r="B553" s="37" t="s">
        <v>714</v>
      </c>
      <c r="C553" s="37" t="s">
        <v>714</v>
      </c>
      <c r="D553" s="4" t="s">
        <v>576</v>
      </c>
      <c r="E553" s="8" t="s">
        <v>47</v>
      </c>
      <c r="G553" s="35">
        <v>45036</v>
      </c>
      <c r="H553" s="45"/>
      <c r="I553" s="36" t="s">
        <v>578</v>
      </c>
      <c r="J553" s="43">
        <v>45046</v>
      </c>
      <c r="K553" s="45"/>
      <c r="L553" s="16" t="s">
        <v>317</v>
      </c>
      <c r="M553" s="35">
        <v>45053</v>
      </c>
      <c r="N553" s="4"/>
      <c r="O553" s="8" t="s">
        <v>47</v>
      </c>
      <c r="P553" s="35">
        <v>45055</v>
      </c>
      <c r="Q553" s="4"/>
      <c r="R553" s="35">
        <v>45057</v>
      </c>
      <c r="S553" s="4"/>
      <c r="T553" s="35">
        <v>45059</v>
      </c>
      <c r="U553" s="4"/>
      <c r="V553" s="4"/>
      <c r="W553" s="17">
        <v>45073</v>
      </c>
      <c r="X553" s="4"/>
      <c r="Y553" s="4"/>
      <c r="Z553" s="17">
        <v>45077</v>
      </c>
      <c r="AA553" s="4"/>
      <c r="AB553" s="4"/>
      <c r="AC553" s="4"/>
      <c r="AD553" s="4"/>
      <c r="AE553" s="4"/>
      <c r="AF553" s="4"/>
    </row>
    <row r="554" spans="1:32" ht="30" hidden="1">
      <c r="A554" s="4">
        <v>549</v>
      </c>
      <c r="B554" s="37" t="s">
        <v>715</v>
      </c>
      <c r="C554" s="37" t="s">
        <v>715</v>
      </c>
      <c r="D554" s="4" t="s">
        <v>576</v>
      </c>
      <c r="E554" s="8" t="s">
        <v>47</v>
      </c>
      <c r="G554" s="35">
        <v>45036</v>
      </c>
      <c r="H554" s="45"/>
      <c r="I554" s="36" t="s">
        <v>578</v>
      </c>
      <c r="J554" s="43">
        <v>45046</v>
      </c>
      <c r="K554" s="45"/>
      <c r="L554" s="16" t="s">
        <v>317</v>
      </c>
      <c r="M554" s="35">
        <v>45053</v>
      </c>
      <c r="N554" s="4"/>
      <c r="O554" s="8" t="s">
        <v>47</v>
      </c>
      <c r="P554" s="35">
        <v>45055</v>
      </c>
      <c r="Q554" s="4"/>
      <c r="R554" s="35">
        <v>45057</v>
      </c>
      <c r="S554" s="4"/>
      <c r="T554" s="35">
        <v>45059</v>
      </c>
      <c r="U554" s="4"/>
      <c r="V554" s="4"/>
      <c r="W554" s="17">
        <v>45073</v>
      </c>
      <c r="X554" s="4"/>
      <c r="Y554" s="4"/>
      <c r="Z554" s="17">
        <v>45077</v>
      </c>
      <c r="AA554" s="4"/>
      <c r="AB554" s="4"/>
      <c r="AC554" s="4"/>
      <c r="AD554" s="4"/>
      <c r="AE554" s="4"/>
      <c r="AF554" s="4"/>
    </row>
    <row r="555" spans="1:32" ht="30" hidden="1">
      <c r="A555" s="4">
        <v>550</v>
      </c>
      <c r="B555" s="37" t="s">
        <v>716</v>
      </c>
      <c r="C555" s="37" t="s">
        <v>716</v>
      </c>
      <c r="D555" s="4" t="s">
        <v>576</v>
      </c>
      <c r="E555" s="8" t="s">
        <v>47</v>
      </c>
      <c r="G555" s="35">
        <v>45036</v>
      </c>
      <c r="H555" s="45"/>
      <c r="I555" s="36" t="s">
        <v>578</v>
      </c>
      <c r="J555" s="43">
        <v>45046</v>
      </c>
      <c r="K555" s="45"/>
      <c r="L555" s="16" t="s">
        <v>317</v>
      </c>
      <c r="M555" s="35">
        <v>45053</v>
      </c>
      <c r="N555" s="4"/>
      <c r="O555" s="8" t="s">
        <v>47</v>
      </c>
      <c r="P555" s="35">
        <v>45055</v>
      </c>
      <c r="Q555" s="4"/>
      <c r="R555" s="35">
        <v>45057</v>
      </c>
      <c r="S555" s="4"/>
      <c r="T555" s="35">
        <v>45059</v>
      </c>
      <c r="U555" s="4"/>
      <c r="V555" s="4"/>
      <c r="W555" s="17">
        <v>45073</v>
      </c>
      <c r="X555" s="4"/>
      <c r="Y555" s="4"/>
      <c r="Z555" s="17">
        <v>45077</v>
      </c>
      <c r="AA555" s="4"/>
      <c r="AB555" s="4"/>
      <c r="AC555" s="4"/>
      <c r="AD555" s="4"/>
      <c r="AE555" s="4"/>
      <c r="AF555" s="4"/>
    </row>
    <row r="556" spans="1:32" ht="30" hidden="1">
      <c r="A556" s="4">
        <v>551</v>
      </c>
      <c r="B556" s="37" t="s">
        <v>717</v>
      </c>
      <c r="C556" s="37" t="s">
        <v>717</v>
      </c>
      <c r="D556" s="4" t="s">
        <v>576</v>
      </c>
      <c r="E556" s="8" t="s">
        <v>47</v>
      </c>
      <c r="G556" s="35">
        <v>45036</v>
      </c>
      <c r="H556" s="45"/>
      <c r="I556" s="36" t="s">
        <v>578</v>
      </c>
      <c r="J556" s="43">
        <v>45046</v>
      </c>
      <c r="K556" s="45"/>
      <c r="L556" s="16" t="s">
        <v>317</v>
      </c>
      <c r="M556" s="35">
        <v>45053</v>
      </c>
      <c r="N556" s="4"/>
      <c r="O556" s="8" t="s">
        <v>47</v>
      </c>
      <c r="P556" s="35">
        <v>45055</v>
      </c>
      <c r="Q556" s="4"/>
      <c r="R556" s="35">
        <v>45057</v>
      </c>
      <c r="S556" s="4"/>
      <c r="T556" s="35">
        <v>45059</v>
      </c>
      <c r="U556" s="4"/>
      <c r="V556" s="4"/>
      <c r="W556" s="17">
        <v>45073</v>
      </c>
      <c r="X556" s="4"/>
      <c r="Y556" s="4"/>
      <c r="Z556" s="17">
        <v>45077</v>
      </c>
      <c r="AA556" s="4"/>
      <c r="AB556" s="4"/>
      <c r="AC556" s="4"/>
      <c r="AD556" s="4"/>
      <c r="AE556" s="4"/>
      <c r="AF556" s="4"/>
    </row>
    <row r="557" spans="1:32" ht="30" hidden="1">
      <c r="A557" s="4">
        <v>552</v>
      </c>
      <c r="B557" s="37" t="s">
        <v>718</v>
      </c>
      <c r="C557" s="37" t="s">
        <v>718</v>
      </c>
      <c r="D557" s="4" t="s">
        <v>576</v>
      </c>
      <c r="E557" s="8" t="s">
        <v>47</v>
      </c>
      <c r="G557" s="35">
        <v>45036</v>
      </c>
      <c r="H557" s="45"/>
      <c r="I557" s="36" t="s">
        <v>578</v>
      </c>
      <c r="J557" s="43">
        <v>45046</v>
      </c>
      <c r="K557" s="45"/>
      <c r="L557" s="16" t="s">
        <v>317</v>
      </c>
      <c r="M557" s="35">
        <v>45053</v>
      </c>
      <c r="N557" s="4"/>
      <c r="O557" s="8" t="s">
        <v>47</v>
      </c>
      <c r="P557" s="35">
        <v>45055</v>
      </c>
      <c r="Q557" s="4"/>
      <c r="R557" s="35">
        <v>45057</v>
      </c>
      <c r="S557" s="4"/>
      <c r="T557" s="35">
        <v>45059</v>
      </c>
      <c r="U557" s="4"/>
      <c r="V557" s="4"/>
      <c r="W557" s="17">
        <v>45073</v>
      </c>
      <c r="X557" s="4"/>
      <c r="Y557" s="4"/>
      <c r="Z557" s="17">
        <v>45077</v>
      </c>
      <c r="AA557" s="4"/>
      <c r="AB557" s="4"/>
      <c r="AC557" s="4"/>
      <c r="AD557" s="4"/>
      <c r="AE557" s="4"/>
      <c r="AF557" s="4"/>
    </row>
    <row r="558" spans="1:32" ht="30" hidden="1">
      <c r="A558" s="4">
        <v>553</v>
      </c>
      <c r="B558" s="37" t="s">
        <v>719</v>
      </c>
      <c r="C558" s="37" t="s">
        <v>719</v>
      </c>
      <c r="D558" s="4" t="s">
        <v>576</v>
      </c>
      <c r="E558" s="8" t="s">
        <v>47</v>
      </c>
      <c r="G558" s="35">
        <v>45036</v>
      </c>
      <c r="H558" s="45"/>
      <c r="I558" s="36" t="s">
        <v>578</v>
      </c>
      <c r="J558" s="43">
        <v>45046</v>
      </c>
      <c r="K558" s="45"/>
      <c r="L558" s="16" t="s">
        <v>317</v>
      </c>
      <c r="M558" s="35">
        <v>45053</v>
      </c>
      <c r="N558" s="4"/>
      <c r="O558" s="8" t="s">
        <v>47</v>
      </c>
      <c r="P558" s="35">
        <v>45055</v>
      </c>
      <c r="Q558" s="4"/>
      <c r="R558" s="35">
        <v>45057</v>
      </c>
      <c r="S558" s="4"/>
      <c r="T558" s="35">
        <v>45059</v>
      </c>
      <c r="U558" s="4"/>
      <c r="V558" s="4"/>
      <c r="W558" s="17">
        <v>45073</v>
      </c>
      <c r="X558" s="4"/>
      <c r="Y558" s="4"/>
      <c r="Z558" s="17">
        <v>45077</v>
      </c>
      <c r="AA558" s="4"/>
      <c r="AB558" s="4"/>
      <c r="AC558" s="4"/>
      <c r="AD558" s="4"/>
      <c r="AE558" s="4"/>
      <c r="AF558" s="4"/>
    </row>
    <row r="559" spans="1:32" ht="30" hidden="1">
      <c r="A559" s="4">
        <v>554</v>
      </c>
      <c r="B559" s="37" t="s">
        <v>720</v>
      </c>
      <c r="C559" s="37" t="s">
        <v>720</v>
      </c>
      <c r="D559" s="4" t="s">
        <v>576</v>
      </c>
      <c r="E559" s="8" t="s">
        <v>47</v>
      </c>
      <c r="G559" s="35">
        <v>45036</v>
      </c>
      <c r="H559" s="45"/>
      <c r="I559" s="36" t="s">
        <v>578</v>
      </c>
      <c r="J559" s="43">
        <v>45046</v>
      </c>
      <c r="K559" s="45"/>
      <c r="L559" s="16" t="s">
        <v>317</v>
      </c>
      <c r="M559" s="35">
        <v>45053</v>
      </c>
      <c r="N559" s="4"/>
      <c r="O559" s="8" t="s">
        <v>47</v>
      </c>
      <c r="P559" s="35">
        <v>45055</v>
      </c>
      <c r="Q559" s="4"/>
      <c r="R559" s="35">
        <v>45057</v>
      </c>
      <c r="S559" s="4"/>
      <c r="T559" s="35">
        <v>45059</v>
      </c>
      <c r="U559" s="4"/>
      <c r="V559" s="4"/>
      <c r="W559" s="17">
        <v>45073</v>
      </c>
      <c r="X559" s="4"/>
      <c r="Y559" s="4"/>
      <c r="Z559" s="17">
        <v>45077</v>
      </c>
      <c r="AA559" s="4"/>
      <c r="AB559" s="4"/>
      <c r="AC559" s="4"/>
      <c r="AD559" s="4"/>
      <c r="AE559" s="4"/>
      <c r="AF559" s="4"/>
    </row>
    <row r="560" spans="1:32" ht="30" hidden="1">
      <c r="A560" s="4">
        <v>555</v>
      </c>
      <c r="B560" s="37" t="s">
        <v>721</v>
      </c>
      <c r="C560" s="37" t="s">
        <v>721</v>
      </c>
      <c r="D560" s="4" t="s">
        <v>576</v>
      </c>
      <c r="E560" s="8" t="s">
        <v>47</v>
      </c>
      <c r="G560" s="35">
        <v>45036</v>
      </c>
      <c r="H560" s="45"/>
      <c r="I560" s="36" t="s">
        <v>578</v>
      </c>
      <c r="J560" s="43">
        <v>45046</v>
      </c>
      <c r="K560" s="45"/>
      <c r="L560" s="16" t="s">
        <v>317</v>
      </c>
      <c r="M560" s="35">
        <v>45053</v>
      </c>
      <c r="N560" s="4"/>
      <c r="O560" s="8" t="s">
        <v>47</v>
      </c>
      <c r="P560" s="35">
        <v>45055</v>
      </c>
      <c r="Q560" s="4"/>
      <c r="R560" s="35">
        <v>45057</v>
      </c>
      <c r="S560" s="4"/>
      <c r="T560" s="35">
        <v>45059</v>
      </c>
      <c r="U560" s="4"/>
      <c r="V560" s="4"/>
      <c r="W560" s="17">
        <v>45073</v>
      </c>
      <c r="X560" s="4"/>
      <c r="Y560" s="4"/>
      <c r="Z560" s="17">
        <v>45077</v>
      </c>
      <c r="AA560" s="4"/>
      <c r="AB560" s="4"/>
      <c r="AC560" s="4"/>
      <c r="AD560" s="4"/>
      <c r="AE560" s="4"/>
      <c r="AF560" s="4"/>
    </row>
    <row r="561" spans="1:32" ht="17" hidden="1">
      <c r="A561" s="4">
        <v>556</v>
      </c>
      <c r="B561" s="46" t="s">
        <v>431</v>
      </c>
      <c r="C561" s="37"/>
      <c r="E561" s="8" t="s">
        <v>47</v>
      </c>
      <c r="G561" s="35"/>
      <c r="H561" s="45"/>
      <c r="I561" s="36"/>
      <c r="J561" s="43"/>
      <c r="K561" s="45"/>
      <c r="L561" s="16"/>
      <c r="M561" s="48"/>
      <c r="N561" s="4"/>
      <c r="O561" s="8"/>
      <c r="P561" s="35"/>
      <c r="Q561" s="4"/>
      <c r="R561" s="35"/>
      <c r="S561" s="4"/>
      <c r="T561" s="35"/>
      <c r="U561" s="4"/>
      <c r="V561" s="4"/>
      <c r="W561" s="17">
        <v>45073</v>
      </c>
      <c r="X561" s="4"/>
      <c r="Y561" s="4"/>
      <c r="Z561" s="17"/>
      <c r="AA561" s="4"/>
      <c r="AB561" s="4"/>
      <c r="AC561" s="4"/>
      <c r="AD561" s="4"/>
      <c r="AE561" s="4"/>
      <c r="AF561" s="4"/>
    </row>
    <row r="562" spans="1:32" ht="30" hidden="1">
      <c r="A562" s="4">
        <v>557</v>
      </c>
      <c r="B562" s="37" t="s">
        <v>722</v>
      </c>
      <c r="C562" s="37" t="s">
        <v>722</v>
      </c>
      <c r="D562" s="4" t="s">
        <v>576</v>
      </c>
      <c r="E562" s="8" t="s">
        <v>47</v>
      </c>
      <c r="G562" s="35">
        <v>45036</v>
      </c>
      <c r="H562" s="45"/>
      <c r="I562" s="36" t="s">
        <v>578</v>
      </c>
      <c r="J562" s="43">
        <v>45046</v>
      </c>
      <c r="K562" s="45"/>
      <c r="L562" s="16" t="s">
        <v>317</v>
      </c>
      <c r="M562" s="35">
        <v>45053</v>
      </c>
      <c r="N562" s="4"/>
      <c r="O562" s="8" t="s">
        <v>47</v>
      </c>
      <c r="P562" s="35">
        <v>45055</v>
      </c>
      <c r="Q562" s="4"/>
      <c r="R562" s="35">
        <v>45057</v>
      </c>
      <c r="S562" s="4"/>
      <c r="T562" s="35">
        <v>45059</v>
      </c>
      <c r="U562" s="4"/>
      <c r="V562" s="4"/>
      <c r="W562" s="17">
        <v>45073</v>
      </c>
      <c r="X562" s="4"/>
      <c r="Y562" s="4"/>
      <c r="Z562" s="17">
        <v>45077</v>
      </c>
      <c r="AA562" s="4"/>
      <c r="AB562" s="4"/>
      <c r="AC562" s="4"/>
      <c r="AD562" s="4"/>
      <c r="AE562" s="4"/>
      <c r="AF562" s="4"/>
    </row>
    <row r="563" spans="1:32" ht="30" hidden="1">
      <c r="A563" s="4">
        <v>558</v>
      </c>
      <c r="B563" s="37" t="s">
        <v>723</v>
      </c>
      <c r="C563" s="37" t="s">
        <v>723</v>
      </c>
      <c r="D563" s="4" t="s">
        <v>576</v>
      </c>
      <c r="E563" s="8" t="s">
        <v>47</v>
      </c>
      <c r="G563" s="35">
        <v>45036</v>
      </c>
      <c r="H563" s="45"/>
      <c r="I563" s="36" t="s">
        <v>578</v>
      </c>
      <c r="J563" s="43">
        <v>45046</v>
      </c>
      <c r="K563" s="45"/>
      <c r="L563" s="16" t="s">
        <v>317</v>
      </c>
      <c r="M563" s="35">
        <v>45053</v>
      </c>
      <c r="N563" s="4"/>
      <c r="O563" s="8" t="s">
        <v>47</v>
      </c>
      <c r="P563" s="35">
        <v>45055</v>
      </c>
      <c r="Q563" s="4"/>
      <c r="R563" s="35">
        <v>45057</v>
      </c>
      <c r="S563" s="4"/>
      <c r="T563" s="35">
        <v>45059</v>
      </c>
      <c r="U563" s="4"/>
      <c r="V563" s="4"/>
      <c r="W563" s="17">
        <v>45073</v>
      </c>
      <c r="X563" s="4"/>
      <c r="Y563" s="4"/>
      <c r="Z563" s="17">
        <v>45077</v>
      </c>
      <c r="AA563" s="4"/>
      <c r="AB563" s="4"/>
      <c r="AC563" s="4"/>
      <c r="AD563" s="4"/>
      <c r="AE563" s="4"/>
      <c r="AF563" s="4"/>
    </row>
    <row r="564" spans="1:32" ht="30" hidden="1">
      <c r="A564" s="4">
        <v>559</v>
      </c>
      <c r="B564" s="37" t="s">
        <v>724</v>
      </c>
      <c r="C564" s="37" t="s">
        <v>724</v>
      </c>
      <c r="D564" s="4" t="s">
        <v>576</v>
      </c>
      <c r="E564" s="8" t="s">
        <v>47</v>
      </c>
      <c r="G564" s="35">
        <v>45036</v>
      </c>
      <c r="H564" s="45"/>
      <c r="I564" s="36" t="s">
        <v>578</v>
      </c>
      <c r="J564" s="43">
        <v>45046</v>
      </c>
      <c r="K564" s="45"/>
      <c r="L564" s="16" t="s">
        <v>317</v>
      </c>
      <c r="M564" s="35">
        <v>45053</v>
      </c>
      <c r="N564" s="4"/>
      <c r="O564" s="8" t="s">
        <v>47</v>
      </c>
      <c r="P564" s="35">
        <v>45055</v>
      </c>
      <c r="Q564" s="4"/>
      <c r="R564" s="35">
        <v>45057</v>
      </c>
      <c r="S564" s="4"/>
      <c r="T564" s="35">
        <v>45059</v>
      </c>
      <c r="U564" s="4"/>
      <c r="V564" s="4"/>
      <c r="W564" s="17">
        <v>45073</v>
      </c>
      <c r="X564" s="4"/>
      <c r="Y564" s="4"/>
      <c r="Z564" s="17">
        <v>45077</v>
      </c>
      <c r="AA564" s="4"/>
      <c r="AB564" s="4"/>
      <c r="AC564" s="4"/>
      <c r="AD564" s="4"/>
      <c r="AE564" s="4"/>
      <c r="AF564" s="4"/>
    </row>
    <row r="565" spans="1:32" ht="70" customHeight="1">
      <c r="D565" s="2"/>
      <c r="E565" s="2"/>
      <c r="F565" s="2"/>
      <c r="G565" s="2"/>
      <c r="H565" s="2"/>
    </row>
    <row r="566" spans="1:32" ht="70" customHeight="1">
      <c r="D566" s="2"/>
      <c r="E566" s="2"/>
      <c r="F566" s="2"/>
      <c r="G566" s="2"/>
      <c r="H566" s="2"/>
    </row>
    <row r="567" spans="1:32" ht="70" customHeight="1">
      <c r="D567" s="2"/>
      <c r="E567" s="2"/>
      <c r="F567" s="2"/>
      <c r="G567" s="2"/>
      <c r="H567" s="2"/>
    </row>
    <row r="568" spans="1:32" ht="70" customHeight="1">
      <c r="D568" s="2"/>
      <c r="E568" s="2"/>
      <c r="F568" s="2"/>
      <c r="G568" s="2"/>
      <c r="H568" s="2"/>
    </row>
    <row r="569" spans="1:32" ht="70" customHeight="1">
      <c r="D569" s="2"/>
      <c r="E569" s="2"/>
      <c r="F569" s="2"/>
      <c r="G569" s="2"/>
      <c r="H569" s="2"/>
    </row>
    <row r="570" spans="1:32" ht="70" customHeight="1">
      <c r="D570" s="2"/>
      <c r="E570" s="2"/>
      <c r="F570" s="2"/>
      <c r="G570" s="2"/>
      <c r="H570" s="2"/>
    </row>
    <row r="571" spans="1:32" ht="70" customHeight="1">
      <c r="D571" s="2"/>
      <c r="E571" s="2"/>
      <c r="F571" s="2"/>
      <c r="G571" s="2"/>
      <c r="H571" s="2"/>
    </row>
    <row r="572" spans="1:32" ht="70" customHeight="1">
      <c r="D572" s="2"/>
      <c r="E572" s="2"/>
      <c r="F572" s="2"/>
      <c r="G572" s="2"/>
      <c r="H572" s="2"/>
    </row>
    <row r="573" spans="1:32" ht="70" customHeight="1">
      <c r="D573" s="2"/>
      <c r="E573" s="2"/>
      <c r="F573" s="2"/>
      <c r="G573" s="2"/>
      <c r="H573" s="2"/>
    </row>
    <row r="574" spans="1:32" ht="70" customHeight="1">
      <c r="D574" s="2"/>
      <c r="E574" s="2"/>
      <c r="F574" s="2"/>
      <c r="G574" s="2"/>
      <c r="H574" s="2"/>
    </row>
    <row r="575" spans="1:32" ht="70" customHeight="1">
      <c r="D575" s="2"/>
      <c r="E575" s="2"/>
      <c r="F575" s="2"/>
      <c r="G575" s="2"/>
      <c r="H575" s="2"/>
    </row>
    <row r="576" spans="1:32" ht="70" customHeight="1">
      <c r="D576" s="2"/>
      <c r="E576" s="2"/>
      <c r="F576" s="2"/>
      <c r="G576" s="2"/>
      <c r="H576" s="2"/>
    </row>
    <row r="577" spans="4:8" ht="70" customHeight="1">
      <c r="D577" s="2"/>
      <c r="E577" s="2"/>
      <c r="F577" s="2"/>
      <c r="G577" s="2"/>
      <c r="H577" s="2"/>
    </row>
    <row r="578" spans="4:8" ht="70" customHeight="1">
      <c r="D578" s="2"/>
      <c r="E578" s="2"/>
      <c r="F578" s="2"/>
      <c r="G578" s="2"/>
      <c r="H578" s="2"/>
    </row>
    <row r="579" spans="4:8" ht="70" customHeight="1">
      <c r="D579" s="2"/>
      <c r="E579" s="2"/>
      <c r="F579" s="2"/>
      <c r="G579" s="2"/>
      <c r="H579" s="2"/>
    </row>
    <row r="580" spans="4:8" ht="70" customHeight="1">
      <c r="D580" s="2"/>
      <c r="E580" s="2"/>
      <c r="F580" s="2"/>
      <c r="G580" s="2"/>
      <c r="H580" s="2"/>
    </row>
    <row r="581" spans="4:8" ht="70" customHeight="1">
      <c r="D581" s="2"/>
      <c r="E581" s="2"/>
      <c r="F581" s="2"/>
      <c r="G581" s="2"/>
      <c r="H581" s="2"/>
    </row>
    <row r="582" spans="4:8" ht="70" customHeight="1">
      <c r="D582" s="2"/>
      <c r="E582" s="2"/>
      <c r="F582" s="2"/>
      <c r="G582" s="2"/>
      <c r="H582" s="2"/>
    </row>
    <row r="583" spans="4:8" ht="70" customHeight="1">
      <c r="D583" s="2"/>
      <c r="E583" s="2"/>
      <c r="F583" s="2"/>
      <c r="G583" s="2"/>
      <c r="H583" s="2"/>
    </row>
    <row r="584" spans="4:8" ht="70" customHeight="1">
      <c r="D584" s="2"/>
      <c r="E584" s="2"/>
      <c r="F584" s="2"/>
      <c r="G584" s="2"/>
      <c r="H584" s="2"/>
    </row>
    <row r="585" spans="4:8" ht="70" customHeight="1">
      <c r="D585" s="2"/>
      <c r="E585" s="2"/>
      <c r="F585" s="2"/>
      <c r="G585" s="2"/>
      <c r="H585" s="2"/>
    </row>
    <row r="586" spans="4:8" ht="70" customHeight="1">
      <c r="D586" s="2"/>
      <c r="E586" s="2"/>
      <c r="F586" s="2"/>
      <c r="G586" s="2"/>
      <c r="H586" s="2"/>
    </row>
    <row r="587" spans="4:8" ht="70" customHeight="1">
      <c r="D587" s="2"/>
      <c r="E587" s="2"/>
      <c r="F587" s="2"/>
      <c r="G587" s="2"/>
      <c r="H587" s="2"/>
    </row>
    <row r="588" spans="4:8" ht="70" customHeight="1">
      <c r="D588" s="2"/>
      <c r="E588" s="2"/>
      <c r="F588" s="2"/>
      <c r="G588" s="2"/>
      <c r="H588" s="2"/>
    </row>
    <row r="589" spans="4:8" ht="70" customHeight="1">
      <c r="D589" s="2"/>
      <c r="E589" s="2"/>
      <c r="F589" s="2"/>
      <c r="G589" s="2"/>
      <c r="H589" s="2"/>
    </row>
    <row r="590" spans="4:8" ht="70" customHeight="1">
      <c r="D590" s="2"/>
      <c r="E590" s="2"/>
      <c r="F590" s="2"/>
      <c r="G590" s="2"/>
      <c r="H590" s="2"/>
    </row>
    <row r="591" spans="4:8" ht="70" customHeight="1">
      <c r="D591" s="2"/>
      <c r="E591" s="2"/>
      <c r="F591" s="2"/>
      <c r="G591" s="2"/>
      <c r="H591" s="2"/>
    </row>
    <row r="592" spans="4:8" ht="70" customHeight="1">
      <c r="D592" s="2"/>
      <c r="E592" s="2"/>
      <c r="F592" s="2"/>
      <c r="G592" s="2"/>
      <c r="H592" s="2"/>
    </row>
    <row r="593" spans="4:8" ht="70" customHeight="1">
      <c r="D593" s="2"/>
      <c r="E593" s="2"/>
      <c r="F593" s="2"/>
      <c r="G593" s="2"/>
      <c r="H593" s="2"/>
    </row>
    <row r="594" spans="4:8" ht="70" customHeight="1">
      <c r="D594" s="2"/>
      <c r="E594" s="2"/>
      <c r="F594" s="2"/>
      <c r="G594" s="2"/>
      <c r="H594" s="2"/>
    </row>
    <row r="595" spans="4:8" ht="70" customHeight="1">
      <c r="D595" s="2"/>
      <c r="E595" s="2"/>
      <c r="F595" s="2"/>
      <c r="G595" s="2"/>
      <c r="H595" s="2"/>
    </row>
    <row r="596" spans="4:8" ht="70" customHeight="1">
      <c r="D596" s="2"/>
      <c r="E596" s="2"/>
      <c r="F596" s="2"/>
      <c r="G596" s="2"/>
      <c r="H596" s="2"/>
    </row>
    <row r="597" spans="4:8" ht="70" customHeight="1">
      <c r="D597" s="2"/>
      <c r="E597" s="2"/>
      <c r="F597" s="2"/>
      <c r="G597" s="2"/>
      <c r="H597" s="2"/>
    </row>
    <row r="598" spans="4:8" ht="70" customHeight="1">
      <c r="D598" s="2"/>
      <c r="E598" s="2"/>
      <c r="F598" s="2"/>
      <c r="G598" s="2"/>
      <c r="H598" s="2"/>
    </row>
    <row r="599" spans="4:8" ht="70" customHeight="1">
      <c r="D599" s="2"/>
      <c r="E599" s="2"/>
      <c r="F599" s="2"/>
      <c r="G599" s="2"/>
      <c r="H599" s="2"/>
    </row>
    <row r="600" spans="4:8" ht="70" customHeight="1">
      <c r="D600" s="2"/>
      <c r="E600" s="2"/>
      <c r="F600" s="2"/>
      <c r="G600" s="2"/>
      <c r="H600" s="2"/>
    </row>
    <row r="601" spans="4:8" ht="70" customHeight="1">
      <c r="D601" s="2"/>
      <c r="E601" s="2"/>
      <c r="F601" s="2"/>
      <c r="G601" s="2"/>
      <c r="H601" s="2"/>
    </row>
    <row r="602" spans="4:8" ht="70" customHeight="1">
      <c r="D602" s="2"/>
      <c r="E602" s="2"/>
      <c r="F602" s="2"/>
      <c r="G602" s="2"/>
      <c r="H602" s="2"/>
    </row>
    <row r="603" spans="4:8" ht="70" customHeight="1">
      <c r="D603" s="2"/>
      <c r="E603" s="2"/>
      <c r="F603" s="2"/>
      <c r="G603" s="2"/>
      <c r="H603" s="2"/>
    </row>
    <row r="604" spans="4:8" ht="70" customHeight="1">
      <c r="D604" s="2"/>
      <c r="E604" s="2"/>
      <c r="F604" s="2"/>
      <c r="G604" s="2"/>
      <c r="H604" s="2"/>
    </row>
    <row r="605" spans="4:8" ht="70" customHeight="1">
      <c r="D605" s="2"/>
      <c r="E605" s="2"/>
      <c r="F605" s="2"/>
      <c r="G605" s="2"/>
      <c r="H605" s="2"/>
    </row>
    <row r="606" spans="4:8" ht="70" customHeight="1">
      <c r="D606" s="2"/>
      <c r="E606" s="2"/>
      <c r="F606" s="2"/>
      <c r="G606" s="2"/>
      <c r="H606" s="2"/>
    </row>
    <row r="607" spans="4:8" ht="70" customHeight="1">
      <c r="D607" s="2"/>
      <c r="E607" s="2"/>
      <c r="F607" s="2"/>
      <c r="G607" s="2"/>
      <c r="H607" s="2"/>
    </row>
    <row r="608" spans="4:8" ht="70" customHeight="1">
      <c r="D608" s="2"/>
      <c r="E608" s="2"/>
      <c r="F608" s="2"/>
      <c r="G608" s="2"/>
      <c r="H608" s="2"/>
    </row>
    <row r="609" spans="4:8" ht="70" customHeight="1">
      <c r="D609" s="2"/>
      <c r="E609" s="2"/>
      <c r="F609" s="2"/>
      <c r="G609" s="2"/>
      <c r="H609" s="2"/>
    </row>
    <row r="610" spans="4:8" ht="70" customHeight="1">
      <c r="D610" s="2"/>
      <c r="E610" s="2"/>
      <c r="F610" s="2"/>
      <c r="G610" s="2"/>
      <c r="H610" s="2"/>
    </row>
    <row r="611" spans="4:8" ht="70" customHeight="1">
      <c r="D611" s="2"/>
      <c r="E611" s="2"/>
      <c r="F611" s="2"/>
      <c r="G611" s="2"/>
      <c r="H611" s="2"/>
    </row>
    <row r="612" spans="4:8" ht="70" customHeight="1">
      <c r="D612" s="2"/>
      <c r="E612" s="2"/>
      <c r="F612" s="2"/>
      <c r="G612" s="2"/>
      <c r="H612" s="2"/>
    </row>
    <row r="613" spans="4:8" ht="70" customHeight="1">
      <c r="D613" s="2"/>
      <c r="E613" s="2"/>
      <c r="F613" s="2"/>
      <c r="G613" s="2"/>
      <c r="H613" s="2"/>
    </row>
    <row r="614" spans="4:8" ht="70" customHeight="1">
      <c r="D614" s="2"/>
      <c r="E614" s="2"/>
      <c r="F614" s="2"/>
      <c r="G614" s="2"/>
      <c r="H614" s="2"/>
    </row>
    <row r="615" spans="4:8" ht="70" customHeight="1">
      <c r="D615" s="2"/>
      <c r="E615" s="2"/>
      <c r="F615" s="2"/>
      <c r="G615" s="2"/>
      <c r="H615" s="2"/>
    </row>
    <row r="616" spans="4:8" ht="70" customHeight="1">
      <c r="D616" s="2"/>
      <c r="E616" s="2"/>
      <c r="F616" s="2"/>
      <c r="G616" s="2"/>
      <c r="H616" s="2"/>
    </row>
    <row r="617" spans="4:8" ht="70" customHeight="1">
      <c r="D617" s="2"/>
      <c r="E617" s="2"/>
      <c r="F617" s="2"/>
      <c r="G617" s="2"/>
      <c r="H617" s="2"/>
    </row>
    <row r="618" spans="4:8" ht="70" customHeight="1">
      <c r="D618" s="2"/>
      <c r="E618" s="2"/>
      <c r="F618" s="2"/>
      <c r="G618" s="2"/>
      <c r="H618" s="2"/>
    </row>
    <row r="619" spans="4:8" ht="70" customHeight="1">
      <c r="D619" s="2"/>
      <c r="E619" s="2"/>
      <c r="F619" s="2"/>
      <c r="G619" s="2"/>
      <c r="H619" s="2"/>
    </row>
    <row r="620" spans="4:8" ht="70" customHeight="1">
      <c r="D620" s="2"/>
      <c r="E620" s="2"/>
      <c r="F620" s="2"/>
      <c r="G620" s="2"/>
      <c r="H620" s="2"/>
    </row>
    <row r="621" spans="4:8" ht="70" customHeight="1">
      <c r="D621" s="2"/>
      <c r="E621" s="2"/>
      <c r="F621" s="2"/>
      <c r="G621" s="2"/>
      <c r="H621" s="2"/>
    </row>
    <row r="622" spans="4:8" ht="70" customHeight="1">
      <c r="D622" s="2"/>
      <c r="E622" s="2"/>
      <c r="F622" s="2"/>
      <c r="G622" s="2"/>
      <c r="H622" s="2"/>
    </row>
    <row r="623" spans="4:8" ht="70" customHeight="1">
      <c r="D623" s="2"/>
      <c r="E623" s="2"/>
      <c r="F623" s="2"/>
      <c r="G623" s="2"/>
      <c r="H623" s="2"/>
    </row>
    <row r="624" spans="4:8" ht="70" customHeight="1">
      <c r="D624" s="2"/>
      <c r="E624" s="2"/>
      <c r="F624" s="2"/>
      <c r="G624" s="2"/>
      <c r="H624" s="2"/>
    </row>
    <row r="625" spans="4:8" ht="70" customHeight="1">
      <c r="D625" s="2"/>
      <c r="E625" s="2"/>
      <c r="F625" s="2"/>
      <c r="G625" s="2"/>
      <c r="H625" s="2"/>
    </row>
    <row r="626" spans="4:8" ht="70" customHeight="1">
      <c r="D626" s="2"/>
      <c r="E626" s="2"/>
      <c r="F626" s="2"/>
      <c r="G626" s="2"/>
      <c r="H626" s="2"/>
    </row>
    <row r="627" spans="4:8" ht="70" customHeight="1">
      <c r="D627" s="2"/>
      <c r="E627" s="2"/>
      <c r="F627" s="2"/>
      <c r="G627" s="2"/>
      <c r="H627" s="2"/>
    </row>
    <row r="628" spans="4:8" ht="70" customHeight="1">
      <c r="D628" s="2"/>
      <c r="E628" s="2"/>
      <c r="F628" s="2"/>
      <c r="G628" s="2"/>
      <c r="H628" s="2"/>
    </row>
    <row r="629" spans="4:8" ht="70" customHeight="1">
      <c r="D629" s="2"/>
      <c r="E629" s="2"/>
      <c r="F629" s="2"/>
      <c r="G629" s="2"/>
      <c r="H629" s="2"/>
    </row>
    <row r="630" spans="4:8" ht="70" customHeight="1">
      <c r="D630" s="2"/>
      <c r="E630" s="2"/>
      <c r="F630" s="2"/>
      <c r="G630" s="2"/>
      <c r="H630" s="2"/>
    </row>
    <row r="631" spans="4:8" ht="70" customHeight="1">
      <c r="D631" s="2"/>
      <c r="E631" s="2"/>
      <c r="F631" s="2"/>
      <c r="G631" s="2"/>
      <c r="H631" s="2"/>
    </row>
    <row r="632" spans="4:8" ht="70" customHeight="1">
      <c r="D632" s="2"/>
      <c r="E632" s="2"/>
      <c r="F632" s="2"/>
      <c r="G632" s="2"/>
      <c r="H632" s="2"/>
    </row>
    <row r="633" spans="4:8" ht="70" customHeight="1">
      <c r="D633" s="2"/>
      <c r="E633" s="2"/>
      <c r="F633" s="2"/>
      <c r="G633" s="2"/>
      <c r="H633" s="2"/>
    </row>
    <row r="634" spans="4:8" ht="70" customHeight="1">
      <c r="D634" s="2"/>
      <c r="E634" s="2"/>
      <c r="F634" s="2"/>
      <c r="G634" s="2"/>
      <c r="H634" s="2"/>
    </row>
    <row r="635" spans="4:8" ht="70" customHeight="1">
      <c r="D635" s="2"/>
      <c r="E635" s="2"/>
      <c r="F635" s="2"/>
      <c r="G635" s="2"/>
      <c r="H635" s="2"/>
    </row>
    <row r="636" spans="4:8" ht="70" customHeight="1">
      <c r="D636" s="2"/>
      <c r="E636" s="2"/>
      <c r="F636" s="2"/>
      <c r="G636" s="2"/>
      <c r="H636" s="2"/>
    </row>
    <row r="637" spans="4:8" ht="70" customHeight="1">
      <c r="D637" s="2"/>
      <c r="E637" s="2"/>
      <c r="F637" s="2"/>
      <c r="G637" s="2"/>
      <c r="H637" s="2"/>
    </row>
    <row r="638" spans="4:8" ht="70" customHeight="1">
      <c r="D638" s="2"/>
      <c r="E638" s="2"/>
      <c r="F638" s="2"/>
      <c r="G638" s="2"/>
      <c r="H638" s="2"/>
    </row>
    <row r="639" spans="4:8" ht="70" customHeight="1">
      <c r="D639" s="2"/>
      <c r="E639" s="2"/>
      <c r="F639" s="2"/>
      <c r="G639" s="2"/>
      <c r="H639" s="2"/>
    </row>
    <row r="640" spans="4:8" ht="70" customHeight="1">
      <c r="D640" s="2"/>
      <c r="E640" s="2"/>
      <c r="F640" s="2"/>
      <c r="G640" s="2"/>
      <c r="H640" s="2"/>
    </row>
    <row r="641" spans="4:8" ht="70" customHeight="1">
      <c r="D641" s="2"/>
      <c r="E641" s="2"/>
      <c r="F641" s="2"/>
      <c r="G641" s="2"/>
      <c r="H641" s="2"/>
    </row>
    <row r="642" spans="4:8" ht="70" customHeight="1">
      <c r="D642" s="2"/>
      <c r="E642" s="2"/>
      <c r="F642" s="2"/>
      <c r="G642" s="2"/>
      <c r="H642" s="2"/>
    </row>
    <row r="643" spans="4:8" ht="70" customHeight="1">
      <c r="D643" s="2"/>
      <c r="E643" s="2"/>
      <c r="F643" s="2"/>
      <c r="G643" s="2"/>
      <c r="H643" s="2"/>
    </row>
    <row r="644" spans="4:8" ht="70" customHeight="1">
      <c r="D644" s="2"/>
      <c r="E644" s="2"/>
      <c r="F644" s="2"/>
      <c r="G644" s="2"/>
      <c r="H644" s="2"/>
    </row>
    <row r="645" spans="4:8" ht="70" customHeight="1">
      <c r="D645" s="2"/>
      <c r="E645" s="2"/>
      <c r="F645" s="2"/>
      <c r="G645" s="2"/>
      <c r="H645" s="2"/>
    </row>
    <row r="646" spans="4:8" ht="70" customHeight="1">
      <c r="D646" s="2"/>
      <c r="E646" s="2"/>
      <c r="F646" s="2"/>
      <c r="G646" s="2"/>
      <c r="H646" s="2"/>
    </row>
    <row r="647" spans="4:8" ht="70" customHeight="1">
      <c r="D647" s="2"/>
      <c r="E647" s="2"/>
      <c r="F647" s="2"/>
      <c r="G647" s="2"/>
      <c r="H647" s="2"/>
    </row>
    <row r="648" spans="4:8" ht="70" customHeight="1">
      <c r="D648" s="2"/>
      <c r="E648" s="2"/>
      <c r="F648" s="2"/>
      <c r="G648" s="2"/>
      <c r="H648" s="2"/>
    </row>
    <row r="649" spans="4:8" ht="70" customHeight="1">
      <c r="D649" s="2"/>
      <c r="E649" s="2"/>
      <c r="F649" s="2"/>
      <c r="G649" s="2"/>
      <c r="H649" s="2"/>
    </row>
    <row r="650" spans="4:8" ht="70" customHeight="1">
      <c r="D650" s="2"/>
      <c r="E650" s="2"/>
      <c r="F650" s="2"/>
      <c r="G650" s="2"/>
      <c r="H650" s="2"/>
    </row>
    <row r="651" spans="4:8" ht="70" customHeight="1">
      <c r="D651" s="2"/>
      <c r="E651" s="2"/>
      <c r="F651" s="2"/>
      <c r="G651" s="2"/>
      <c r="H651" s="2"/>
    </row>
    <row r="652" spans="4:8" ht="70" customHeight="1">
      <c r="D652" s="2"/>
      <c r="E652" s="2"/>
      <c r="F652" s="2"/>
      <c r="G652" s="2"/>
      <c r="H652" s="2"/>
    </row>
    <row r="653" spans="4:8" ht="70" customHeight="1">
      <c r="D653" s="2"/>
      <c r="E653" s="2"/>
      <c r="F653" s="2"/>
      <c r="G653" s="2"/>
      <c r="H653" s="2"/>
    </row>
    <row r="654" spans="4:8" ht="70" customHeight="1">
      <c r="D654" s="2"/>
      <c r="E654" s="2"/>
      <c r="F654" s="2"/>
      <c r="G654" s="2"/>
      <c r="H654" s="2"/>
    </row>
    <row r="655" spans="4:8" ht="70" customHeight="1">
      <c r="D655" s="2"/>
      <c r="E655" s="2"/>
      <c r="F655" s="2"/>
      <c r="G655" s="2"/>
      <c r="H655" s="2"/>
    </row>
    <row r="656" spans="4:8" ht="70" customHeight="1">
      <c r="D656" s="2"/>
      <c r="E656" s="2"/>
      <c r="F656" s="2"/>
      <c r="G656" s="2"/>
      <c r="H656" s="2"/>
    </row>
    <row r="657" spans="4:8" ht="70" customHeight="1">
      <c r="D657" s="2"/>
      <c r="E657" s="2"/>
      <c r="F657" s="2"/>
      <c r="G657" s="2"/>
      <c r="H657" s="2"/>
    </row>
    <row r="658" spans="4:8" ht="70" customHeight="1">
      <c r="D658" s="2"/>
      <c r="E658" s="2"/>
      <c r="F658" s="2"/>
      <c r="G658" s="2"/>
      <c r="H658" s="2"/>
    </row>
    <row r="659" spans="4:8" ht="70" customHeight="1">
      <c r="D659" s="2"/>
      <c r="E659" s="2"/>
      <c r="F659" s="2"/>
      <c r="G659" s="2"/>
      <c r="H659" s="2"/>
    </row>
    <row r="660" spans="4:8" ht="70" customHeight="1">
      <c r="D660" s="2"/>
      <c r="E660" s="2"/>
      <c r="F660" s="2"/>
      <c r="G660" s="2"/>
      <c r="H660" s="2"/>
    </row>
    <row r="661" spans="4:8" ht="70" customHeight="1">
      <c r="D661" s="2"/>
      <c r="E661" s="2"/>
      <c r="F661" s="2"/>
      <c r="G661" s="2"/>
      <c r="H661" s="2"/>
    </row>
    <row r="662" spans="4:8" ht="70" customHeight="1">
      <c r="D662" s="2"/>
      <c r="E662" s="2"/>
      <c r="F662" s="2"/>
      <c r="G662" s="2"/>
      <c r="H662" s="2"/>
    </row>
    <row r="663" spans="4:8" ht="70" customHeight="1">
      <c r="D663" s="2"/>
      <c r="E663" s="2"/>
      <c r="F663" s="2"/>
      <c r="G663" s="2"/>
      <c r="H663" s="2"/>
    </row>
    <row r="664" spans="4:8" ht="70" customHeight="1">
      <c r="D664" s="2"/>
      <c r="E664" s="2"/>
      <c r="F664" s="2"/>
      <c r="G664" s="2"/>
      <c r="H664" s="2"/>
    </row>
    <row r="665" spans="4:8" ht="70" customHeight="1">
      <c r="D665" s="2"/>
      <c r="E665" s="2"/>
      <c r="F665" s="2"/>
      <c r="G665" s="2"/>
      <c r="H665" s="2"/>
    </row>
    <row r="666" spans="4:8" ht="70" customHeight="1">
      <c r="D666" s="2"/>
      <c r="E666" s="2"/>
      <c r="F666" s="2"/>
      <c r="G666" s="2"/>
      <c r="H666" s="2"/>
    </row>
    <row r="667" spans="4:8" ht="70" customHeight="1">
      <c r="D667" s="2"/>
      <c r="E667" s="2"/>
      <c r="F667" s="2"/>
      <c r="G667" s="2"/>
      <c r="H667" s="2"/>
    </row>
    <row r="668" spans="4:8" ht="70" customHeight="1">
      <c r="D668" s="2"/>
      <c r="E668" s="2"/>
      <c r="F668" s="2"/>
      <c r="G668" s="2"/>
      <c r="H668" s="2"/>
    </row>
    <row r="669" spans="4:8" ht="70" customHeight="1">
      <c r="D669" s="2"/>
      <c r="E669" s="2"/>
      <c r="F669" s="2"/>
      <c r="G669" s="2"/>
      <c r="H669" s="2"/>
    </row>
    <row r="670" spans="4:8" ht="70" customHeight="1">
      <c r="D670" s="2"/>
      <c r="E670" s="2"/>
      <c r="F670" s="2"/>
      <c r="G670" s="2"/>
      <c r="H670" s="2"/>
    </row>
    <row r="671" spans="4:8" ht="70" customHeight="1">
      <c r="D671" s="2"/>
      <c r="E671" s="2"/>
      <c r="F671" s="2"/>
      <c r="G671" s="2"/>
      <c r="H671" s="2"/>
    </row>
    <row r="672" spans="4:8" ht="70" customHeight="1">
      <c r="D672" s="2"/>
      <c r="E672" s="2"/>
      <c r="F672" s="2"/>
      <c r="G672" s="2"/>
      <c r="H672" s="2"/>
    </row>
    <row r="673" spans="4:8" ht="70" customHeight="1">
      <c r="D673" s="2"/>
      <c r="E673" s="2"/>
      <c r="F673" s="2"/>
      <c r="G673" s="2"/>
      <c r="H673" s="2"/>
    </row>
    <row r="674" spans="4:8" ht="70" customHeight="1">
      <c r="D674" s="2"/>
      <c r="E674" s="2"/>
      <c r="F674" s="2"/>
      <c r="G674" s="2"/>
      <c r="H674" s="2"/>
    </row>
    <row r="675" spans="4:8" ht="70" customHeight="1">
      <c r="D675" s="2"/>
      <c r="E675" s="2"/>
      <c r="F675" s="2"/>
      <c r="G675" s="2"/>
      <c r="H675" s="2"/>
    </row>
    <row r="676" spans="4:8" ht="70" customHeight="1">
      <c r="D676" s="2"/>
      <c r="E676" s="2"/>
      <c r="F676" s="2"/>
      <c r="G676" s="2"/>
      <c r="H676" s="2"/>
    </row>
    <row r="677" spans="4:8" ht="70" customHeight="1">
      <c r="D677" s="2"/>
      <c r="E677" s="2"/>
      <c r="F677" s="2"/>
      <c r="G677" s="2"/>
      <c r="H677" s="2"/>
    </row>
    <row r="678" spans="4:8" ht="70" customHeight="1">
      <c r="D678" s="2"/>
      <c r="E678" s="2"/>
      <c r="F678" s="2"/>
      <c r="G678" s="2"/>
      <c r="H678" s="2"/>
    </row>
    <row r="679" spans="4:8" ht="70" customHeight="1">
      <c r="D679" s="2"/>
      <c r="E679" s="2"/>
      <c r="F679" s="2"/>
      <c r="G679" s="2"/>
      <c r="H679" s="2"/>
    </row>
    <row r="680" spans="4:8" ht="70" customHeight="1">
      <c r="D680" s="2"/>
      <c r="E680" s="2"/>
      <c r="F680" s="2"/>
      <c r="G680" s="2"/>
      <c r="H680" s="2"/>
    </row>
    <row r="681" spans="4:8" ht="70" customHeight="1">
      <c r="D681" s="2"/>
      <c r="E681" s="2"/>
      <c r="F681" s="2"/>
      <c r="G681" s="2"/>
      <c r="H681" s="2"/>
    </row>
    <row r="682" spans="4:8" ht="70" customHeight="1">
      <c r="D682" s="2"/>
      <c r="E682" s="2"/>
      <c r="F682" s="2"/>
      <c r="G682" s="2"/>
      <c r="H682" s="2"/>
    </row>
    <row r="683" spans="4:8" ht="70" customHeight="1">
      <c r="D683" s="2"/>
      <c r="E683" s="2"/>
      <c r="F683" s="2"/>
      <c r="G683" s="2"/>
      <c r="H683" s="2"/>
    </row>
    <row r="684" spans="4:8" ht="70" customHeight="1">
      <c r="D684" s="2"/>
      <c r="E684" s="2"/>
      <c r="F684" s="2"/>
      <c r="G684" s="2"/>
      <c r="H684" s="2"/>
    </row>
    <row r="685" spans="4:8" ht="70" customHeight="1">
      <c r="D685" s="2"/>
      <c r="E685" s="2"/>
      <c r="F685" s="2"/>
      <c r="G685" s="2"/>
      <c r="H685" s="2"/>
    </row>
    <row r="686" spans="4:8" ht="70" customHeight="1">
      <c r="D686" s="2"/>
      <c r="E686" s="2"/>
      <c r="F686" s="2"/>
      <c r="G686" s="2"/>
      <c r="H686" s="2"/>
    </row>
    <row r="687" spans="4:8" ht="70" customHeight="1">
      <c r="D687" s="2"/>
      <c r="E687" s="2"/>
      <c r="F687" s="2"/>
      <c r="G687" s="2"/>
      <c r="H687" s="2"/>
    </row>
    <row r="688" spans="4:8" ht="70" customHeight="1">
      <c r="D688" s="2"/>
      <c r="E688" s="2"/>
      <c r="F688" s="2"/>
      <c r="G688" s="2"/>
      <c r="H688" s="2"/>
    </row>
    <row r="689" spans="4:8" ht="70" customHeight="1">
      <c r="D689" s="2"/>
      <c r="E689" s="2"/>
      <c r="F689" s="2"/>
      <c r="G689" s="2"/>
      <c r="H689" s="2"/>
    </row>
    <row r="690" spans="4:8" ht="70" customHeight="1">
      <c r="D690" s="2"/>
      <c r="E690" s="2"/>
      <c r="F690" s="2"/>
      <c r="G690" s="2"/>
      <c r="H690" s="2"/>
    </row>
    <row r="691" spans="4:8" ht="70" customHeight="1">
      <c r="D691" s="2"/>
      <c r="E691" s="2"/>
      <c r="F691" s="2"/>
      <c r="G691" s="2"/>
      <c r="H691" s="2"/>
    </row>
    <row r="692" spans="4:8" ht="70" customHeight="1">
      <c r="D692" s="2"/>
      <c r="E692" s="2"/>
      <c r="F692" s="2"/>
      <c r="G692" s="2"/>
      <c r="H692" s="2"/>
    </row>
    <row r="693" spans="4:8" ht="70" customHeight="1">
      <c r="D693" s="2"/>
      <c r="E693" s="2"/>
      <c r="F693" s="2"/>
      <c r="G693" s="2"/>
      <c r="H693" s="2"/>
    </row>
    <row r="694" spans="4:8" ht="70" customHeight="1">
      <c r="D694" s="2"/>
      <c r="E694" s="2"/>
      <c r="F694" s="2"/>
      <c r="G694" s="2"/>
      <c r="H694" s="2"/>
    </row>
    <row r="695" spans="4:8" ht="70" customHeight="1">
      <c r="D695" s="2"/>
      <c r="E695" s="2"/>
      <c r="F695" s="2"/>
      <c r="G695" s="2"/>
      <c r="H695" s="2"/>
    </row>
    <row r="696" spans="4:8" ht="70" customHeight="1">
      <c r="D696" s="2"/>
      <c r="E696" s="2"/>
      <c r="F696" s="2"/>
      <c r="G696" s="2"/>
      <c r="H696" s="2"/>
    </row>
    <row r="697" spans="4:8" ht="70" customHeight="1">
      <c r="D697" s="2"/>
      <c r="E697" s="2"/>
      <c r="F697" s="2"/>
      <c r="G697" s="2"/>
      <c r="H697" s="2"/>
    </row>
    <row r="698" spans="4:8" ht="70" customHeight="1">
      <c r="D698" s="2"/>
      <c r="E698" s="2"/>
      <c r="F698" s="2"/>
      <c r="G698" s="2"/>
      <c r="H698" s="2"/>
    </row>
    <row r="699" spans="4:8" ht="70" customHeight="1">
      <c r="D699" s="2"/>
      <c r="E699" s="2"/>
      <c r="F699" s="2"/>
      <c r="G699" s="2"/>
      <c r="H699" s="2"/>
    </row>
    <row r="700" spans="4:8" ht="70" customHeight="1">
      <c r="D700" s="2"/>
      <c r="E700" s="2"/>
      <c r="F700" s="2"/>
      <c r="G700" s="2"/>
      <c r="H700" s="2"/>
    </row>
    <row r="701" spans="4:8" ht="70" customHeight="1">
      <c r="D701" s="2"/>
      <c r="E701" s="2"/>
      <c r="F701" s="2"/>
      <c r="G701" s="2"/>
      <c r="H701" s="2"/>
    </row>
    <row r="702" spans="4:8" ht="70" customHeight="1">
      <c r="D702" s="2"/>
      <c r="E702" s="2"/>
      <c r="F702" s="2"/>
      <c r="G702" s="2"/>
      <c r="H702" s="2"/>
    </row>
    <row r="703" spans="4:8" ht="70" customHeight="1">
      <c r="D703" s="2"/>
      <c r="E703" s="2"/>
      <c r="F703" s="2"/>
      <c r="G703" s="2"/>
      <c r="H703" s="2"/>
    </row>
    <row r="704" spans="4:8" ht="70" customHeight="1">
      <c r="D704" s="2"/>
      <c r="E704" s="2"/>
      <c r="F704" s="2"/>
      <c r="G704" s="2"/>
      <c r="H704" s="2"/>
    </row>
    <row r="705" spans="4:8" ht="70" customHeight="1">
      <c r="D705" s="2"/>
      <c r="E705" s="2"/>
      <c r="F705" s="2"/>
      <c r="G705" s="2"/>
      <c r="H705" s="2"/>
    </row>
    <row r="706" spans="4:8" ht="70" customHeight="1">
      <c r="D706" s="2"/>
      <c r="E706" s="2"/>
      <c r="F706" s="2"/>
      <c r="G706" s="2"/>
      <c r="H706" s="2"/>
    </row>
    <row r="707" spans="4:8" ht="70" customHeight="1">
      <c r="D707" s="2"/>
      <c r="E707" s="2"/>
      <c r="F707" s="2"/>
      <c r="G707" s="2"/>
      <c r="H707" s="2"/>
    </row>
    <row r="708" spans="4:8" ht="70" customHeight="1">
      <c r="D708" s="2"/>
      <c r="E708" s="2"/>
      <c r="F708" s="2"/>
      <c r="G708" s="2"/>
      <c r="H708" s="2"/>
    </row>
    <row r="709" spans="4:8" ht="70" customHeight="1">
      <c r="D709" s="2"/>
      <c r="E709" s="2"/>
      <c r="F709" s="2"/>
      <c r="G709" s="2"/>
      <c r="H709" s="2"/>
    </row>
    <row r="710" spans="4:8" ht="70" customHeight="1">
      <c r="D710" s="2"/>
      <c r="E710" s="2"/>
      <c r="F710" s="2"/>
      <c r="G710" s="2"/>
      <c r="H710" s="2"/>
    </row>
    <row r="711" spans="4:8" ht="70" customHeight="1">
      <c r="D711" s="2"/>
      <c r="E711" s="2"/>
      <c r="F711" s="2"/>
      <c r="G711" s="2"/>
      <c r="H711" s="2"/>
    </row>
    <row r="712" spans="4:8" ht="70" customHeight="1">
      <c r="D712" s="2"/>
      <c r="E712" s="2"/>
      <c r="F712" s="2"/>
      <c r="G712" s="2"/>
      <c r="H712" s="2"/>
    </row>
    <row r="713" spans="4:8" ht="70" customHeight="1">
      <c r="D713" s="2"/>
      <c r="E713" s="2"/>
      <c r="F713" s="2"/>
      <c r="G713" s="2"/>
      <c r="H713" s="2"/>
    </row>
    <row r="714" spans="4:8" ht="70" customHeight="1">
      <c r="D714" s="2"/>
      <c r="E714" s="2"/>
      <c r="F714" s="2"/>
      <c r="G714" s="2"/>
      <c r="H714" s="2"/>
    </row>
    <row r="715" spans="4:8" ht="70" customHeight="1">
      <c r="D715" s="2"/>
      <c r="E715" s="2"/>
      <c r="F715" s="2"/>
      <c r="G715" s="2"/>
      <c r="H715" s="2"/>
    </row>
    <row r="716" spans="4:8" ht="70" customHeight="1">
      <c r="D716" s="2"/>
      <c r="E716" s="2"/>
      <c r="F716" s="2"/>
      <c r="G716" s="2"/>
      <c r="H716" s="2"/>
    </row>
    <row r="717" spans="4:8" ht="70" customHeight="1">
      <c r="D717" s="2"/>
      <c r="E717" s="2"/>
      <c r="F717" s="2"/>
      <c r="G717" s="2"/>
      <c r="H717" s="2"/>
    </row>
    <row r="718" spans="4:8" ht="70" customHeight="1">
      <c r="D718" s="2"/>
      <c r="E718" s="2"/>
      <c r="F718" s="2"/>
      <c r="G718" s="2"/>
      <c r="H718" s="2"/>
    </row>
    <row r="719" spans="4:8" ht="70" customHeight="1">
      <c r="D719" s="2"/>
      <c r="E719" s="2"/>
      <c r="F719" s="2"/>
      <c r="G719" s="2"/>
      <c r="H719" s="2"/>
    </row>
    <row r="720" spans="4:8" ht="70" customHeight="1">
      <c r="D720" s="2"/>
      <c r="E720" s="2"/>
      <c r="F720" s="2"/>
      <c r="G720" s="2"/>
      <c r="H720" s="2"/>
    </row>
    <row r="721" spans="4:8" ht="70" customHeight="1">
      <c r="D721" s="2"/>
      <c r="E721" s="2"/>
      <c r="F721" s="2"/>
      <c r="G721" s="2"/>
      <c r="H721" s="2"/>
    </row>
    <row r="722" spans="4:8" ht="70" customHeight="1">
      <c r="D722" s="2"/>
      <c r="E722" s="2"/>
      <c r="F722" s="2"/>
      <c r="G722" s="2"/>
      <c r="H722" s="2"/>
    </row>
    <row r="723" spans="4:8" ht="70" customHeight="1">
      <c r="D723" s="2"/>
      <c r="E723" s="2"/>
      <c r="F723" s="2"/>
      <c r="G723" s="2"/>
      <c r="H723" s="2"/>
    </row>
    <row r="724" spans="4:8" ht="70" customHeight="1">
      <c r="D724" s="2"/>
      <c r="E724" s="2"/>
      <c r="F724" s="2"/>
      <c r="G724" s="2"/>
      <c r="H724" s="2"/>
    </row>
    <row r="725" spans="4:8" ht="70" customHeight="1">
      <c r="D725" s="2"/>
      <c r="E725" s="2"/>
      <c r="F725" s="2"/>
      <c r="G725" s="2"/>
      <c r="H725" s="2"/>
    </row>
    <row r="726" spans="4:8" ht="70" customHeight="1">
      <c r="D726" s="2"/>
      <c r="E726" s="2"/>
      <c r="F726" s="2"/>
      <c r="G726" s="2"/>
      <c r="H726" s="2"/>
    </row>
    <row r="727" spans="4:8" ht="70" customHeight="1">
      <c r="D727" s="2"/>
      <c r="E727" s="2"/>
      <c r="F727" s="2"/>
      <c r="G727" s="2"/>
      <c r="H727" s="2"/>
    </row>
    <row r="728" spans="4:8" ht="70" customHeight="1">
      <c r="D728" s="2"/>
      <c r="E728" s="2"/>
      <c r="F728" s="2"/>
      <c r="G728" s="2"/>
      <c r="H728" s="2"/>
    </row>
    <row r="729" spans="4:8" ht="70" customHeight="1">
      <c r="D729" s="2"/>
      <c r="E729" s="2"/>
      <c r="F729" s="2"/>
      <c r="G729" s="2"/>
      <c r="H729" s="2"/>
    </row>
    <row r="730" spans="4:8" ht="70" customHeight="1">
      <c r="D730" s="2"/>
      <c r="E730" s="2"/>
      <c r="F730" s="2"/>
      <c r="G730" s="2"/>
      <c r="H730" s="2"/>
    </row>
    <row r="731" spans="4:8" ht="70" customHeight="1">
      <c r="D731" s="2"/>
      <c r="E731" s="2"/>
      <c r="F731" s="2"/>
      <c r="G731" s="2"/>
      <c r="H731" s="2"/>
    </row>
    <row r="732" spans="4:8" ht="70" customHeight="1">
      <c r="D732" s="2"/>
      <c r="E732" s="2"/>
      <c r="F732" s="2"/>
      <c r="G732" s="2"/>
      <c r="H732" s="2"/>
    </row>
    <row r="733" spans="4:8" ht="70" customHeight="1">
      <c r="D733" s="49"/>
      <c r="E733" s="49"/>
      <c r="F733" s="49"/>
      <c r="G733" s="49"/>
      <c r="H733" s="49"/>
    </row>
  </sheetData>
  <autoFilter ref="A2:AF564" xr:uid="{00000000-0009-0000-0000-000000000000}">
    <filterColumn colId="8">
      <filters>
        <filter val="董鹏程"/>
      </filters>
    </filterColumn>
  </autoFilter>
  <mergeCells count="624">
    <mergeCell ref="AD1:AD2"/>
    <mergeCell ref="AE1:AE2"/>
    <mergeCell ref="AF1:AF2"/>
    <mergeCell ref="K425:K426"/>
    <mergeCell ref="K428:K430"/>
    <mergeCell ref="K436:K437"/>
    <mergeCell ref="K439:K444"/>
    <mergeCell ref="K447:K450"/>
    <mergeCell ref="K452:K453"/>
    <mergeCell ref="K455:K461"/>
    <mergeCell ref="K467:K474"/>
    <mergeCell ref="AC1:AC2"/>
    <mergeCell ref="K362:K364"/>
    <mergeCell ref="K365:K368"/>
    <mergeCell ref="K372:K374"/>
    <mergeCell ref="K378:K384"/>
    <mergeCell ref="K386:K390"/>
    <mergeCell ref="K393:K397"/>
    <mergeCell ref="K398:K399"/>
    <mergeCell ref="K405:K410"/>
    <mergeCell ref="K411:K419"/>
    <mergeCell ref="K291:K292"/>
    <mergeCell ref="K294:K295"/>
    <mergeCell ref="K299:K300"/>
    <mergeCell ref="K301:K304"/>
    <mergeCell ref="K308:K318"/>
    <mergeCell ref="K319:K323"/>
    <mergeCell ref="K325:K329"/>
    <mergeCell ref="K331:K353"/>
    <mergeCell ref="K358:K361"/>
    <mergeCell ref="K234:K235"/>
    <mergeCell ref="K241:K242"/>
    <mergeCell ref="K245:K250"/>
    <mergeCell ref="K258:K267"/>
    <mergeCell ref="K270:K271"/>
    <mergeCell ref="K274:K275"/>
    <mergeCell ref="K277:K278"/>
    <mergeCell ref="K279:K280"/>
    <mergeCell ref="K281:K288"/>
    <mergeCell ref="B385:B423"/>
    <mergeCell ref="B424:B430"/>
    <mergeCell ref="B431:B437"/>
    <mergeCell ref="B438:B441"/>
    <mergeCell ref="B442:B450"/>
    <mergeCell ref="B451:B475"/>
    <mergeCell ref="C1:C2"/>
    <mergeCell ref="K6:K9"/>
    <mergeCell ref="K10:K13"/>
    <mergeCell ref="K14:K15"/>
    <mergeCell ref="K16:K18"/>
    <mergeCell ref="K19:K22"/>
    <mergeCell ref="K23:K28"/>
    <mergeCell ref="K29:K35"/>
    <mergeCell ref="K36:K37"/>
    <mergeCell ref="K42:K47"/>
    <mergeCell ref="K72:K81"/>
    <mergeCell ref="K82:K85"/>
    <mergeCell ref="K203:K205"/>
    <mergeCell ref="K206:K207"/>
    <mergeCell ref="K208:K216"/>
    <mergeCell ref="K219:K221"/>
    <mergeCell ref="K223:K227"/>
    <mergeCell ref="K229:K233"/>
    <mergeCell ref="B180:B184"/>
    <mergeCell ref="B185:B192"/>
    <mergeCell ref="B193:B196"/>
    <mergeCell ref="B197:B200"/>
    <mergeCell ref="B202:B221"/>
    <mergeCell ref="B222:B256"/>
    <mergeCell ref="B257:B289"/>
    <mergeCell ref="B290:B329"/>
    <mergeCell ref="B330:B384"/>
    <mergeCell ref="WWO476:WXT476"/>
    <mergeCell ref="WXU476:WYZ476"/>
    <mergeCell ref="WZA476:XAF476"/>
    <mergeCell ref="XAG476:XBL476"/>
    <mergeCell ref="XBM476:XCR476"/>
    <mergeCell ref="XCS476:XDX476"/>
    <mergeCell ref="XDY476:XFD476"/>
    <mergeCell ref="A1:A2"/>
    <mergeCell ref="B1:B2"/>
    <mergeCell ref="B6:B9"/>
    <mergeCell ref="B10:B13"/>
    <mergeCell ref="B14:B15"/>
    <mergeCell ref="B16:B18"/>
    <mergeCell ref="B19:B22"/>
    <mergeCell ref="B23:B28"/>
    <mergeCell ref="B29:B35"/>
    <mergeCell ref="B36:B41"/>
    <mergeCell ref="B42:B47"/>
    <mergeCell ref="B48:B55"/>
    <mergeCell ref="B56:B71"/>
    <mergeCell ref="B72:B85"/>
    <mergeCell ref="B86:B93"/>
    <mergeCell ref="B95:B99"/>
    <mergeCell ref="B100:B104"/>
    <mergeCell ref="WLM476:WMR476"/>
    <mergeCell ref="WMS476:WNX476"/>
    <mergeCell ref="WNY476:WPD476"/>
    <mergeCell ref="WPE476:WQJ476"/>
    <mergeCell ref="WQK476:WRP476"/>
    <mergeCell ref="WRQ476:WSV476"/>
    <mergeCell ref="WSW476:WUB476"/>
    <mergeCell ref="WUC476:WVH476"/>
    <mergeCell ref="WVI476:WWN476"/>
    <mergeCell ref="WAK476:WBP476"/>
    <mergeCell ref="WBQ476:WCV476"/>
    <mergeCell ref="WCW476:WEB476"/>
    <mergeCell ref="WEC476:WFH476"/>
    <mergeCell ref="WFI476:WGN476"/>
    <mergeCell ref="WGO476:WHT476"/>
    <mergeCell ref="WHU476:WIZ476"/>
    <mergeCell ref="WJA476:WKF476"/>
    <mergeCell ref="WKG476:WLL476"/>
    <mergeCell ref="VPI476:VQN476"/>
    <mergeCell ref="VQO476:VRT476"/>
    <mergeCell ref="VRU476:VSZ476"/>
    <mergeCell ref="VTA476:VUF476"/>
    <mergeCell ref="VUG476:VVL476"/>
    <mergeCell ref="VVM476:VWR476"/>
    <mergeCell ref="VWS476:VXX476"/>
    <mergeCell ref="VXY476:VZD476"/>
    <mergeCell ref="VZE476:WAJ476"/>
    <mergeCell ref="VEG476:VFL476"/>
    <mergeCell ref="VFM476:VGR476"/>
    <mergeCell ref="VGS476:VHX476"/>
    <mergeCell ref="VHY476:VJD476"/>
    <mergeCell ref="VJE476:VKJ476"/>
    <mergeCell ref="VKK476:VLP476"/>
    <mergeCell ref="VLQ476:VMV476"/>
    <mergeCell ref="VMW476:VOB476"/>
    <mergeCell ref="VOC476:VPH476"/>
    <mergeCell ref="UTE476:UUJ476"/>
    <mergeCell ref="UUK476:UVP476"/>
    <mergeCell ref="UVQ476:UWV476"/>
    <mergeCell ref="UWW476:UYB476"/>
    <mergeCell ref="UYC476:UZH476"/>
    <mergeCell ref="UZI476:VAN476"/>
    <mergeCell ref="VAO476:VBT476"/>
    <mergeCell ref="VBU476:VCZ476"/>
    <mergeCell ref="VDA476:VEF476"/>
    <mergeCell ref="UIC476:UJH476"/>
    <mergeCell ref="UJI476:UKN476"/>
    <mergeCell ref="UKO476:ULT476"/>
    <mergeCell ref="ULU476:UMZ476"/>
    <mergeCell ref="UNA476:UOF476"/>
    <mergeCell ref="UOG476:UPL476"/>
    <mergeCell ref="UPM476:UQR476"/>
    <mergeCell ref="UQS476:URX476"/>
    <mergeCell ref="URY476:UTD476"/>
    <mergeCell ref="TXA476:TYF476"/>
    <mergeCell ref="TYG476:TZL476"/>
    <mergeCell ref="TZM476:UAR476"/>
    <mergeCell ref="UAS476:UBX476"/>
    <mergeCell ref="UBY476:UDD476"/>
    <mergeCell ref="UDE476:UEJ476"/>
    <mergeCell ref="UEK476:UFP476"/>
    <mergeCell ref="UFQ476:UGV476"/>
    <mergeCell ref="UGW476:UIB476"/>
    <mergeCell ref="TLY476:TND476"/>
    <mergeCell ref="TNE476:TOJ476"/>
    <mergeCell ref="TOK476:TPP476"/>
    <mergeCell ref="TPQ476:TQV476"/>
    <mergeCell ref="TQW476:TSB476"/>
    <mergeCell ref="TSC476:TTH476"/>
    <mergeCell ref="TTI476:TUN476"/>
    <mergeCell ref="TUO476:TVT476"/>
    <mergeCell ref="TVU476:TWZ476"/>
    <mergeCell ref="TAW476:TCB476"/>
    <mergeCell ref="TCC476:TDH476"/>
    <mergeCell ref="TDI476:TEN476"/>
    <mergeCell ref="TEO476:TFT476"/>
    <mergeCell ref="TFU476:TGZ476"/>
    <mergeCell ref="THA476:TIF476"/>
    <mergeCell ref="TIG476:TJL476"/>
    <mergeCell ref="TJM476:TKR476"/>
    <mergeCell ref="TKS476:TLX476"/>
    <mergeCell ref="SPU476:SQZ476"/>
    <mergeCell ref="SRA476:SSF476"/>
    <mergeCell ref="SSG476:STL476"/>
    <mergeCell ref="STM476:SUR476"/>
    <mergeCell ref="SUS476:SVX476"/>
    <mergeCell ref="SVY476:SXD476"/>
    <mergeCell ref="SXE476:SYJ476"/>
    <mergeCell ref="SYK476:SZP476"/>
    <mergeCell ref="SZQ476:TAV476"/>
    <mergeCell ref="SES476:SFX476"/>
    <mergeCell ref="SFY476:SHD476"/>
    <mergeCell ref="SHE476:SIJ476"/>
    <mergeCell ref="SIK476:SJP476"/>
    <mergeCell ref="SJQ476:SKV476"/>
    <mergeCell ref="SKW476:SMB476"/>
    <mergeCell ref="SMC476:SNH476"/>
    <mergeCell ref="SNI476:SON476"/>
    <mergeCell ref="SOO476:SPT476"/>
    <mergeCell ref="RTQ476:RUV476"/>
    <mergeCell ref="RUW476:RWB476"/>
    <mergeCell ref="RWC476:RXH476"/>
    <mergeCell ref="RXI476:RYN476"/>
    <mergeCell ref="RYO476:RZT476"/>
    <mergeCell ref="RZU476:SAZ476"/>
    <mergeCell ref="SBA476:SCF476"/>
    <mergeCell ref="SCG476:SDL476"/>
    <mergeCell ref="SDM476:SER476"/>
    <mergeCell ref="RIO476:RJT476"/>
    <mergeCell ref="RJU476:RKZ476"/>
    <mergeCell ref="RLA476:RMF476"/>
    <mergeCell ref="RMG476:RNL476"/>
    <mergeCell ref="RNM476:ROR476"/>
    <mergeCell ref="ROS476:RPX476"/>
    <mergeCell ref="RPY476:RRD476"/>
    <mergeCell ref="RRE476:RSJ476"/>
    <mergeCell ref="RSK476:RTP476"/>
    <mergeCell ref="QXM476:QYR476"/>
    <mergeCell ref="QYS476:QZX476"/>
    <mergeCell ref="QZY476:RBD476"/>
    <mergeCell ref="RBE476:RCJ476"/>
    <mergeCell ref="RCK476:RDP476"/>
    <mergeCell ref="RDQ476:REV476"/>
    <mergeCell ref="REW476:RGB476"/>
    <mergeCell ref="RGC476:RHH476"/>
    <mergeCell ref="RHI476:RIN476"/>
    <mergeCell ref="QMK476:QNP476"/>
    <mergeCell ref="QNQ476:QOV476"/>
    <mergeCell ref="QOW476:QQB476"/>
    <mergeCell ref="QQC476:QRH476"/>
    <mergeCell ref="QRI476:QSN476"/>
    <mergeCell ref="QSO476:QTT476"/>
    <mergeCell ref="QTU476:QUZ476"/>
    <mergeCell ref="QVA476:QWF476"/>
    <mergeCell ref="QWG476:QXL476"/>
    <mergeCell ref="QBI476:QCN476"/>
    <mergeCell ref="QCO476:QDT476"/>
    <mergeCell ref="QDU476:QEZ476"/>
    <mergeCell ref="QFA476:QGF476"/>
    <mergeCell ref="QGG476:QHL476"/>
    <mergeCell ref="QHM476:QIR476"/>
    <mergeCell ref="QIS476:QJX476"/>
    <mergeCell ref="QJY476:QLD476"/>
    <mergeCell ref="QLE476:QMJ476"/>
    <mergeCell ref="PQG476:PRL476"/>
    <mergeCell ref="PRM476:PSR476"/>
    <mergeCell ref="PSS476:PTX476"/>
    <mergeCell ref="PTY476:PVD476"/>
    <mergeCell ref="PVE476:PWJ476"/>
    <mergeCell ref="PWK476:PXP476"/>
    <mergeCell ref="PXQ476:PYV476"/>
    <mergeCell ref="PYW476:QAB476"/>
    <mergeCell ref="QAC476:QBH476"/>
    <mergeCell ref="PFE476:PGJ476"/>
    <mergeCell ref="PGK476:PHP476"/>
    <mergeCell ref="PHQ476:PIV476"/>
    <mergeCell ref="PIW476:PKB476"/>
    <mergeCell ref="PKC476:PLH476"/>
    <mergeCell ref="PLI476:PMN476"/>
    <mergeCell ref="PMO476:PNT476"/>
    <mergeCell ref="PNU476:POZ476"/>
    <mergeCell ref="PPA476:PQF476"/>
    <mergeCell ref="OUC476:OVH476"/>
    <mergeCell ref="OVI476:OWN476"/>
    <mergeCell ref="OWO476:OXT476"/>
    <mergeCell ref="OXU476:OYZ476"/>
    <mergeCell ref="OZA476:PAF476"/>
    <mergeCell ref="PAG476:PBL476"/>
    <mergeCell ref="PBM476:PCR476"/>
    <mergeCell ref="PCS476:PDX476"/>
    <mergeCell ref="PDY476:PFD476"/>
    <mergeCell ref="OJA476:OKF476"/>
    <mergeCell ref="OKG476:OLL476"/>
    <mergeCell ref="OLM476:OMR476"/>
    <mergeCell ref="OMS476:ONX476"/>
    <mergeCell ref="ONY476:OPD476"/>
    <mergeCell ref="OPE476:OQJ476"/>
    <mergeCell ref="OQK476:ORP476"/>
    <mergeCell ref="ORQ476:OSV476"/>
    <mergeCell ref="OSW476:OUB476"/>
    <mergeCell ref="NXY476:NZD476"/>
    <mergeCell ref="NZE476:OAJ476"/>
    <mergeCell ref="OAK476:OBP476"/>
    <mergeCell ref="OBQ476:OCV476"/>
    <mergeCell ref="OCW476:OEB476"/>
    <mergeCell ref="OEC476:OFH476"/>
    <mergeCell ref="OFI476:OGN476"/>
    <mergeCell ref="OGO476:OHT476"/>
    <mergeCell ref="OHU476:OIZ476"/>
    <mergeCell ref="NMW476:NOB476"/>
    <mergeCell ref="NOC476:NPH476"/>
    <mergeCell ref="NPI476:NQN476"/>
    <mergeCell ref="NQO476:NRT476"/>
    <mergeCell ref="NRU476:NSZ476"/>
    <mergeCell ref="NTA476:NUF476"/>
    <mergeCell ref="NUG476:NVL476"/>
    <mergeCell ref="NVM476:NWR476"/>
    <mergeCell ref="NWS476:NXX476"/>
    <mergeCell ref="NBU476:NCZ476"/>
    <mergeCell ref="NDA476:NEF476"/>
    <mergeCell ref="NEG476:NFL476"/>
    <mergeCell ref="NFM476:NGR476"/>
    <mergeCell ref="NGS476:NHX476"/>
    <mergeCell ref="NHY476:NJD476"/>
    <mergeCell ref="NJE476:NKJ476"/>
    <mergeCell ref="NKK476:NLP476"/>
    <mergeCell ref="NLQ476:NMV476"/>
    <mergeCell ref="MQS476:MRX476"/>
    <mergeCell ref="MRY476:MTD476"/>
    <mergeCell ref="MTE476:MUJ476"/>
    <mergeCell ref="MUK476:MVP476"/>
    <mergeCell ref="MVQ476:MWV476"/>
    <mergeCell ref="MWW476:MYB476"/>
    <mergeCell ref="MYC476:MZH476"/>
    <mergeCell ref="MZI476:NAN476"/>
    <mergeCell ref="NAO476:NBT476"/>
    <mergeCell ref="MFQ476:MGV476"/>
    <mergeCell ref="MGW476:MIB476"/>
    <mergeCell ref="MIC476:MJH476"/>
    <mergeCell ref="MJI476:MKN476"/>
    <mergeCell ref="MKO476:MLT476"/>
    <mergeCell ref="MLU476:MMZ476"/>
    <mergeCell ref="MNA476:MOF476"/>
    <mergeCell ref="MOG476:MPL476"/>
    <mergeCell ref="MPM476:MQR476"/>
    <mergeCell ref="LUO476:LVT476"/>
    <mergeCell ref="LVU476:LWZ476"/>
    <mergeCell ref="LXA476:LYF476"/>
    <mergeCell ref="LYG476:LZL476"/>
    <mergeCell ref="LZM476:MAR476"/>
    <mergeCell ref="MAS476:MBX476"/>
    <mergeCell ref="MBY476:MDD476"/>
    <mergeCell ref="MDE476:MEJ476"/>
    <mergeCell ref="MEK476:MFP476"/>
    <mergeCell ref="LJM476:LKR476"/>
    <mergeCell ref="LKS476:LLX476"/>
    <mergeCell ref="LLY476:LND476"/>
    <mergeCell ref="LNE476:LOJ476"/>
    <mergeCell ref="LOK476:LPP476"/>
    <mergeCell ref="LPQ476:LQV476"/>
    <mergeCell ref="LQW476:LSB476"/>
    <mergeCell ref="LSC476:LTH476"/>
    <mergeCell ref="LTI476:LUN476"/>
    <mergeCell ref="KYK476:KZP476"/>
    <mergeCell ref="KZQ476:LAV476"/>
    <mergeCell ref="LAW476:LCB476"/>
    <mergeCell ref="LCC476:LDH476"/>
    <mergeCell ref="LDI476:LEN476"/>
    <mergeCell ref="LEO476:LFT476"/>
    <mergeCell ref="LFU476:LGZ476"/>
    <mergeCell ref="LHA476:LIF476"/>
    <mergeCell ref="LIG476:LJL476"/>
    <mergeCell ref="KNI476:KON476"/>
    <mergeCell ref="KOO476:KPT476"/>
    <mergeCell ref="KPU476:KQZ476"/>
    <mergeCell ref="KRA476:KSF476"/>
    <mergeCell ref="KSG476:KTL476"/>
    <mergeCell ref="KTM476:KUR476"/>
    <mergeCell ref="KUS476:KVX476"/>
    <mergeCell ref="KVY476:KXD476"/>
    <mergeCell ref="KXE476:KYJ476"/>
    <mergeCell ref="KCG476:KDL476"/>
    <mergeCell ref="KDM476:KER476"/>
    <mergeCell ref="KES476:KFX476"/>
    <mergeCell ref="KFY476:KHD476"/>
    <mergeCell ref="KHE476:KIJ476"/>
    <mergeCell ref="KIK476:KJP476"/>
    <mergeCell ref="KJQ476:KKV476"/>
    <mergeCell ref="KKW476:KMB476"/>
    <mergeCell ref="KMC476:KNH476"/>
    <mergeCell ref="JRE476:JSJ476"/>
    <mergeCell ref="JSK476:JTP476"/>
    <mergeCell ref="JTQ476:JUV476"/>
    <mergeCell ref="JUW476:JWB476"/>
    <mergeCell ref="JWC476:JXH476"/>
    <mergeCell ref="JXI476:JYN476"/>
    <mergeCell ref="JYO476:JZT476"/>
    <mergeCell ref="JZU476:KAZ476"/>
    <mergeCell ref="KBA476:KCF476"/>
    <mergeCell ref="JGC476:JHH476"/>
    <mergeCell ref="JHI476:JIN476"/>
    <mergeCell ref="JIO476:JJT476"/>
    <mergeCell ref="JJU476:JKZ476"/>
    <mergeCell ref="JLA476:JMF476"/>
    <mergeCell ref="JMG476:JNL476"/>
    <mergeCell ref="JNM476:JOR476"/>
    <mergeCell ref="JOS476:JPX476"/>
    <mergeCell ref="JPY476:JRD476"/>
    <mergeCell ref="IVA476:IWF476"/>
    <mergeCell ref="IWG476:IXL476"/>
    <mergeCell ref="IXM476:IYR476"/>
    <mergeCell ref="IYS476:IZX476"/>
    <mergeCell ref="IZY476:JBD476"/>
    <mergeCell ref="JBE476:JCJ476"/>
    <mergeCell ref="JCK476:JDP476"/>
    <mergeCell ref="JDQ476:JEV476"/>
    <mergeCell ref="JEW476:JGB476"/>
    <mergeCell ref="IJY476:ILD476"/>
    <mergeCell ref="ILE476:IMJ476"/>
    <mergeCell ref="IMK476:INP476"/>
    <mergeCell ref="INQ476:IOV476"/>
    <mergeCell ref="IOW476:IQB476"/>
    <mergeCell ref="IQC476:IRH476"/>
    <mergeCell ref="IRI476:ISN476"/>
    <mergeCell ref="ISO476:ITT476"/>
    <mergeCell ref="ITU476:IUZ476"/>
    <mergeCell ref="HYW476:IAB476"/>
    <mergeCell ref="IAC476:IBH476"/>
    <mergeCell ref="IBI476:ICN476"/>
    <mergeCell ref="ICO476:IDT476"/>
    <mergeCell ref="IDU476:IEZ476"/>
    <mergeCell ref="IFA476:IGF476"/>
    <mergeCell ref="IGG476:IHL476"/>
    <mergeCell ref="IHM476:IIR476"/>
    <mergeCell ref="IIS476:IJX476"/>
    <mergeCell ref="HNU476:HOZ476"/>
    <mergeCell ref="HPA476:HQF476"/>
    <mergeCell ref="HQG476:HRL476"/>
    <mergeCell ref="HRM476:HSR476"/>
    <mergeCell ref="HSS476:HTX476"/>
    <mergeCell ref="HTY476:HVD476"/>
    <mergeCell ref="HVE476:HWJ476"/>
    <mergeCell ref="HWK476:HXP476"/>
    <mergeCell ref="HXQ476:HYV476"/>
    <mergeCell ref="HCS476:HDX476"/>
    <mergeCell ref="HDY476:HFD476"/>
    <mergeCell ref="HFE476:HGJ476"/>
    <mergeCell ref="HGK476:HHP476"/>
    <mergeCell ref="HHQ476:HIV476"/>
    <mergeCell ref="HIW476:HKB476"/>
    <mergeCell ref="HKC476:HLH476"/>
    <mergeCell ref="HLI476:HMN476"/>
    <mergeCell ref="HMO476:HNT476"/>
    <mergeCell ref="GRQ476:GSV476"/>
    <mergeCell ref="GSW476:GUB476"/>
    <mergeCell ref="GUC476:GVH476"/>
    <mergeCell ref="GVI476:GWN476"/>
    <mergeCell ref="GWO476:GXT476"/>
    <mergeCell ref="GXU476:GYZ476"/>
    <mergeCell ref="GZA476:HAF476"/>
    <mergeCell ref="HAG476:HBL476"/>
    <mergeCell ref="HBM476:HCR476"/>
    <mergeCell ref="GGO476:GHT476"/>
    <mergeCell ref="GHU476:GIZ476"/>
    <mergeCell ref="GJA476:GKF476"/>
    <mergeCell ref="GKG476:GLL476"/>
    <mergeCell ref="GLM476:GMR476"/>
    <mergeCell ref="GMS476:GNX476"/>
    <mergeCell ref="GNY476:GPD476"/>
    <mergeCell ref="GPE476:GQJ476"/>
    <mergeCell ref="GQK476:GRP476"/>
    <mergeCell ref="FVM476:FWR476"/>
    <mergeCell ref="FWS476:FXX476"/>
    <mergeCell ref="FXY476:FZD476"/>
    <mergeCell ref="FZE476:GAJ476"/>
    <mergeCell ref="GAK476:GBP476"/>
    <mergeCell ref="GBQ476:GCV476"/>
    <mergeCell ref="GCW476:GEB476"/>
    <mergeCell ref="GEC476:GFH476"/>
    <mergeCell ref="GFI476:GGN476"/>
    <mergeCell ref="FKK476:FLP476"/>
    <mergeCell ref="FLQ476:FMV476"/>
    <mergeCell ref="FMW476:FOB476"/>
    <mergeCell ref="FOC476:FPH476"/>
    <mergeCell ref="FPI476:FQN476"/>
    <mergeCell ref="FQO476:FRT476"/>
    <mergeCell ref="FRU476:FSZ476"/>
    <mergeCell ref="FTA476:FUF476"/>
    <mergeCell ref="FUG476:FVL476"/>
    <mergeCell ref="EZI476:FAN476"/>
    <mergeCell ref="FAO476:FBT476"/>
    <mergeCell ref="FBU476:FCZ476"/>
    <mergeCell ref="FDA476:FEF476"/>
    <mergeCell ref="FEG476:FFL476"/>
    <mergeCell ref="FFM476:FGR476"/>
    <mergeCell ref="FGS476:FHX476"/>
    <mergeCell ref="FHY476:FJD476"/>
    <mergeCell ref="FJE476:FKJ476"/>
    <mergeCell ref="EOG476:EPL476"/>
    <mergeCell ref="EPM476:EQR476"/>
    <mergeCell ref="EQS476:ERX476"/>
    <mergeCell ref="ERY476:ETD476"/>
    <mergeCell ref="ETE476:EUJ476"/>
    <mergeCell ref="EUK476:EVP476"/>
    <mergeCell ref="EVQ476:EWV476"/>
    <mergeCell ref="EWW476:EYB476"/>
    <mergeCell ref="EYC476:EZH476"/>
    <mergeCell ref="EDE476:EEJ476"/>
    <mergeCell ref="EEK476:EFP476"/>
    <mergeCell ref="EFQ476:EGV476"/>
    <mergeCell ref="EGW476:EIB476"/>
    <mergeCell ref="EIC476:EJH476"/>
    <mergeCell ref="EJI476:EKN476"/>
    <mergeCell ref="EKO476:ELT476"/>
    <mergeCell ref="ELU476:EMZ476"/>
    <mergeCell ref="ENA476:EOF476"/>
    <mergeCell ref="DSC476:DTH476"/>
    <mergeCell ref="DTI476:DUN476"/>
    <mergeCell ref="DUO476:DVT476"/>
    <mergeCell ref="DVU476:DWZ476"/>
    <mergeCell ref="DXA476:DYF476"/>
    <mergeCell ref="DYG476:DZL476"/>
    <mergeCell ref="DZM476:EAR476"/>
    <mergeCell ref="EAS476:EBX476"/>
    <mergeCell ref="EBY476:EDD476"/>
    <mergeCell ref="DHA476:DIF476"/>
    <mergeCell ref="DIG476:DJL476"/>
    <mergeCell ref="DJM476:DKR476"/>
    <mergeCell ref="DKS476:DLX476"/>
    <mergeCell ref="DLY476:DND476"/>
    <mergeCell ref="DNE476:DOJ476"/>
    <mergeCell ref="DOK476:DPP476"/>
    <mergeCell ref="DPQ476:DQV476"/>
    <mergeCell ref="DQW476:DSB476"/>
    <mergeCell ref="CVY476:CXD476"/>
    <mergeCell ref="CXE476:CYJ476"/>
    <mergeCell ref="CYK476:CZP476"/>
    <mergeCell ref="CZQ476:DAV476"/>
    <mergeCell ref="DAW476:DCB476"/>
    <mergeCell ref="DCC476:DDH476"/>
    <mergeCell ref="DDI476:DEN476"/>
    <mergeCell ref="DEO476:DFT476"/>
    <mergeCell ref="DFU476:DGZ476"/>
    <mergeCell ref="CKW476:CMB476"/>
    <mergeCell ref="CMC476:CNH476"/>
    <mergeCell ref="CNI476:CON476"/>
    <mergeCell ref="COO476:CPT476"/>
    <mergeCell ref="CPU476:CQZ476"/>
    <mergeCell ref="CRA476:CSF476"/>
    <mergeCell ref="CSG476:CTL476"/>
    <mergeCell ref="CTM476:CUR476"/>
    <mergeCell ref="CUS476:CVX476"/>
    <mergeCell ref="BZU476:CAZ476"/>
    <mergeCell ref="CBA476:CCF476"/>
    <mergeCell ref="CCG476:CDL476"/>
    <mergeCell ref="CDM476:CER476"/>
    <mergeCell ref="CES476:CFX476"/>
    <mergeCell ref="CFY476:CHD476"/>
    <mergeCell ref="CHE476:CIJ476"/>
    <mergeCell ref="CIK476:CJP476"/>
    <mergeCell ref="CJQ476:CKV476"/>
    <mergeCell ref="BOS476:BPX476"/>
    <mergeCell ref="BPY476:BRD476"/>
    <mergeCell ref="BRE476:BSJ476"/>
    <mergeCell ref="BSK476:BTP476"/>
    <mergeCell ref="BTQ476:BUV476"/>
    <mergeCell ref="BUW476:BWB476"/>
    <mergeCell ref="BWC476:BXH476"/>
    <mergeCell ref="BXI476:BYN476"/>
    <mergeCell ref="BYO476:BZT476"/>
    <mergeCell ref="BDQ476:BEV476"/>
    <mergeCell ref="BEW476:BGB476"/>
    <mergeCell ref="BGC476:BHH476"/>
    <mergeCell ref="BHI476:BIN476"/>
    <mergeCell ref="BIO476:BJT476"/>
    <mergeCell ref="BJU476:BKZ476"/>
    <mergeCell ref="BLA476:BMF476"/>
    <mergeCell ref="BMG476:BNL476"/>
    <mergeCell ref="BNM476:BOR476"/>
    <mergeCell ref="ASO476:ATT476"/>
    <mergeCell ref="ATU476:AUZ476"/>
    <mergeCell ref="AVA476:AWF476"/>
    <mergeCell ref="AWG476:AXL476"/>
    <mergeCell ref="AXM476:AYR476"/>
    <mergeCell ref="AYS476:AZX476"/>
    <mergeCell ref="AZY476:BBD476"/>
    <mergeCell ref="BBE476:BCJ476"/>
    <mergeCell ref="BCK476:BDP476"/>
    <mergeCell ref="AHM476:AIR476"/>
    <mergeCell ref="AIS476:AJX476"/>
    <mergeCell ref="AJY476:ALD476"/>
    <mergeCell ref="ALE476:AMJ476"/>
    <mergeCell ref="AMK476:ANP476"/>
    <mergeCell ref="ANQ476:AOV476"/>
    <mergeCell ref="AOW476:AQB476"/>
    <mergeCell ref="AQC476:ARH476"/>
    <mergeCell ref="ARI476:ASN476"/>
    <mergeCell ref="WK476:XP476"/>
    <mergeCell ref="XQ476:YV476"/>
    <mergeCell ref="YW476:AAB476"/>
    <mergeCell ref="AAC476:ABH476"/>
    <mergeCell ref="ABI476:ACN476"/>
    <mergeCell ref="ACO476:ADT476"/>
    <mergeCell ref="ADU476:AEZ476"/>
    <mergeCell ref="AFA476:AGF476"/>
    <mergeCell ref="AGG476:AHL476"/>
    <mergeCell ref="LI476:MN476"/>
    <mergeCell ref="MO476:NT476"/>
    <mergeCell ref="NU476:OZ476"/>
    <mergeCell ref="PA476:QF476"/>
    <mergeCell ref="QG476:RL476"/>
    <mergeCell ref="RM476:SR476"/>
    <mergeCell ref="SS476:TX476"/>
    <mergeCell ref="TY476:VD476"/>
    <mergeCell ref="VE476:WJ476"/>
    <mergeCell ref="AG476:BL476"/>
    <mergeCell ref="BM476:CR476"/>
    <mergeCell ref="CS476:DX476"/>
    <mergeCell ref="DY476:FD476"/>
    <mergeCell ref="FE476:GJ476"/>
    <mergeCell ref="GK476:HP476"/>
    <mergeCell ref="HQ476:IV476"/>
    <mergeCell ref="IW476:KB476"/>
    <mergeCell ref="KC476:LH476"/>
    <mergeCell ref="D1:H1"/>
    <mergeCell ref="I1:K1"/>
    <mergeCell ref="L1:N1"/>
    <mergeCell ref="O1:V1"/>
    <mergeCell ref="W1:Y1"/>
    <mergeCell ref="Z1:AB1"/>
    <mergeCell ref="A3:AF3"/>
    <mergeCell ref="A201:AF201"/>
    <mergeCell ref="A476:AF476"/>
    <mergeCell ref="B105:B109"/>
    <mergeCell ref="B110:B114"/>
    <mergeCell ref="B115:B119"/>
    <mergeCell ref="B120:B124"/>
    <mergeCell ref="B125:B129"/>
    <mergeCell ref="B130:B134"/>
    <mergeCell ref="B135:B139"/>
    <mergeCell ref="B140:B144"/>
    <mergeCell ref="B145:B149"/>
    <mergeCell ref="B150:B154"/>
    <mergeCell ref="B155:B159"/>
    <mergeCell ref="B160:B164"/>
    <mergeCell ref="B165:B169"/>
    <mergeCell ref="B170:B174"/>
    <mergeCell ref="B175:B179"/>
  </mergeCells>
  <phoneticPr fontId="2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三维布置设计平台进度跟踪表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JBpeople</cp:lastModifiedBy>
  <dcterms:created xsi:type="dcterms:W3CDTF">2023-01-17T06:29:00Z</dcterms:created>
  <dcterms:modified xsi:type="dcterms:W3CDTF">2023-04-17T12:55:59Z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8A793B039385462AB75312A5AB5AF53D</vt:lpwstr>
  </property>
  <property fmtid="{D5CDD505-2E9C-101B-9397-08002B2CF9AE}" pid="3" name="KSOProductBuildVer">
    <vt:lpwstr>2052-11.1.0.14036</vt:lpwstr>
  </property>
</Properties>
</file>